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caafddb7b047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60585807600e49a2"/>
    <x:sheet xmlns:r="http://schemas.openxmlformats.org/officeDocument/2006/relationships" name="Orders" sheetId="2" r:id="Refe4d1d684804391"/>
    <x:sheet xmlns:r="http://schemas.openxmlformats.org/officeDocument/2006/relationships" name="Products" sheetId="3" r:id="R29f1badcb968407f"/>
    <x:sheet xmlns:r="http://schemas.openxmlformats.org/officeDocument/2006/relationships" name="Stores" sheetId="4" r:id="Rdd27a52baa5a457b"/>
    <x:sheet xmlns:r="http://schemas.openxmlformats.org/officeDocument/2006/relationships" name="QA Summary" sheetId="5" r:id="R45d970dda3d543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sz val="11"/>
      <x:color rgb="FF16324F"/>
      <x:name val="Carlito"/>
    </x:font>
    <x:font>
      <x:b/>
      <x:sz val="16"/>
      <x:color rgb="FFFFFFFF"/>
      <x:name val="Carlito"/>
    </x:font>
    <x:font>
      <x:sz val="11"/>
      <x:color rgb="FF5F6B76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1F7A8C"/>
      </x:patternFill>
    </x:fill>
    <x:fill>
      <x:patternFill patternType="solid">
        <x:fgColor rgb="FFFFF4CC"/>
      </x:patternFill>
    </x:fill>
    <x:fill>
      <x:patternFill patternType="solid">
        <x:fgColor rgb="FFE8F1F5"/>
      </x:patternFill>
    </x:fill>
  </x:fills>
  <x:borders count="10">
    <x:border/>
    <x:border>
      <x:right style="thin">
        <x:color rgb="FFD6DEE3"/>
      </x:right>
      <x:bottom style="thin">
        <x:color rgb="FFD6DEE3"/>
      </x:bottom>
    </x:border>
    <x:border>
      <x:left style="thin">
        <x:color rgb="FFD6DEE3"/>
      </x:left>
      <x:bottom style="thin">
        <x:color rgb="FFD6DEE3"/>
      </x:bottom>
    </x:border>
    <x:border>
      <x:right style="thin">
        <x:color rgb="FFD6DEE3"/>
      </x:right>
      <x:top style="thin">
        <x:color rgb="FFD6DEE3"/>
      </x:top>
      <x:bottom style="thin">
        <x:color rgb="FFD6DEE3"/>
      </x:bottom>
    </x:border>
    <x:border>
      <x:left style="thin">
        <x:color rgb="FFD6DEE3"/>
      </x:left>
      <x:top style="thin">
        <x:color rgb="FFD6DEE3"/>
      </x:top>
      <x:bottom style="thin">
        <x:color rgb="FFD6DEE3"/>
      </x:bottom>
    </x:border>
    <x:border>
      <x:right style="thin">
        <x:color rgb="FFD6DEE3"/>
      </x:right>
      <x:top style="thin">
        <x:color rgb="FFD6DEE3"/>
      </x:top>
    </x:border>
    <x:border>
      <x:left style="thin">
        <x:color rgb="FFD6DEE3"/>
      </x:left>
      <x:top style="thin">
        <x:color rgb="FFD6DEE3"/>
      </x:top>
    </x:border>
    <x:border>
      <x:left style="thin">
        <x:color rgb="FFD6DEE3"/>
      </x:left>
      <x:right style="thin">
        <x:color rgb="FFD6DEE3"/>
      </x:right>
      <x:bottom style="thin">
        <x:color rgb="FFD6DEE3"/>
      </x:bottom>
    </x:border>
    <x:border>
      <x:left style="thin">
        <x:color rgb="FFD6DEE3"/>
      </x:left>
      <x:right style="thin">
        <x:color rgb="FFD6DEE3"/>
      </x:right>
      <x:top style="thin">
        <x:color rgb="FFD6DEE3"/>
      </x:top>
      <x:bottom style="thin">
        <x:color rgb="FFD6DEE3"/>
      </x:bottom>
    </x:border>
    <x:border>
      <x:left style="thin">
        <x:color rgb="FFD6DEE3"/>
      </x:left>
      <x:right style="thin">
        <x:color rgb="FFD6DEE3"/>
      </x:right>
      <x:top style="thin">
        <x:color rgb="FFD6DEE3"/>
      </x:top>
    </x:border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2" fillId="3" borderId="7" xfId="0" applyNumberFormat="1" applyFont="1" applyFill="1" applyBorder="1"/>
    <x:xf numFmtId="0" fontId="0" fillId="4" borderId="3" xfId="0" applyNumberFormat="1" applyFont="1" applyFill="1" applyBorder="1"/>
    <x:xf numFmtId="0" fontId="0" fillId="4" borderId="8" xfId="0" applyNumberFormat="1" applyFont="1" applyFill="1" applyBorder="1"/>
    <x:xf numFmtId="0" fontId="0" fillId="4" borderId="4" xfId="0" applyNumberFormat="1" applyFont="1" applyFill="1" applyBorder="1"/>
    <x:xf numFmtId="0" fontId="0" fillId="0" borderId="9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/>
    <x:xf numFmtId="200" fontId="0" fillId="0" borderId="8" xfId="0" applyNumberFormat="1" applyFont="1" applyFill="1" applyBorder="1"/>
    <x:xf numFmtId="200" fontId="0" fillId="0" borderId="9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ont>
        <x:color rgb="FFA61B1B"/>
      </x:font>
      <x:fill>
        <x:patternFill patternType="solid">
          <x:bgColor rgb="FFFDE8E7"/>
        </x:patternFill>
      </x:fill>
    </x:dxf>
    <x:dxf>
      <x:font>
        <x:b/>
        <x:color rgb="FFA61B1B"/>
      </x:font>
      <x:fill>
        <x:patternFill patternType="solid">
          <x:bgColor rgb="FFFDE8E7"/>
        </x:patternFill>
      </x:fill>
    </x:dxf>
    <x:dxf>
      <x:font>
        <x:color rgb="FF7A5700"/>
      </x:font>
      <x:fill>
        <x:patternFill patternType="solid">
          <x:bgColor rgb="FFFFF4CC"/>
        </x:patternFill>
      </x:fill>
    </x:dxf>
    <x:dxf>
      <x:font>
        <x:color rgb="FF7A5700"/>
      </x:font>
      <x:fill>
        <x:patternFill patternType="solid">
          <x:bgColor rgb="FFFFF4CC"/>
        </x:patternFill>
      </x:fill>
    </x:dxf>
    <x:dxf>
      <x:font>
        <x:b/>
        <x:color rgb="FF2E6B35"/>
      </x:font>
      <x:fill>
        <x:patternFill patternType="solid">
          <x:bgColor rgb="FFE8F5E9"/>
        </x:patternFill>
      </x:fill>
    </x:dxf>
    <x:dxf>
      <x:font>
        <x:b/>
        <x:color rgb="FFA61B1B"/>
      </x:font>
      <x:fill>
        <x:patternFill patternType="solid">
          <x:bgColor rgb="FFFDE8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352af045494c80" /><Relationship Type="http://schemas.openxmlformats.org/officeDocument/2006/relationships/theme" Target="/xl/theme/theme1.xml" Id="Ref6ad765ce0a4d10" /><Relationship Type="http://schemas.openxmlformats.org/officeDocument/2006/relationships/sharedStrings" Target="/xl/sharedStrings.xml" Id="Ra3d0024365c74b7a" /><Relationship Type="http://schemas.openxmlformats.org/officeDocument/2006/relationships/worksheet" Target="/xl/worksheets/sheet1.xml" Id="R60585807600e49a2" /><Relationship Type="http://schemas.openxmlformats.org/officeDocument/2006/relationships/worksheet" Target="/xl/worksheets/sheet2.xml" Id="Refe4d1d684804391" /><Relationship Type="http://schemas.openxmlformats.org/officeDocument/2006/relationships/worksheet" Target="/xl/worksheets/sheet3.xml" Id="R29f1badcb968407f" /><Relationship Type="http://schemas.openxmlformats.org/officeDocument/2006/relationships/worksheet" Target="/xl/worksheets/sheet4.xml" Id="Rdd27a52baa5a457b" /><Relationship Type="http://schemas.openxmlformats.org/officeDocument/2006/relationships/worksheet" Target="/xl/worksheets/sheet5.xml" Id="R45d970dda3d543b5" /></Relationships>
</file>

<file path=xl/tables/table1.xml><?xml version="1.0" encoding="utf-8"?>
<x:table xmlns:x="http://schemas.openxmlformats.org/spreadsheetml/2006/main" id="1" name="OrdersReviewTable" displayName="OrdersReviewTable" ref="A1:J301" headerRowCount="1" totalsRowCount="0" totalsRowShown="0">
  <x:tableColumns count="10">
    <x:tableColumn id="1" name="order_id"/>
    <x:tableColumn id="2" name="order_ts"/>
    <x:tableColumn id="3" name="store_id"/>
    <x:tableColumn id="4" name="product_id"/>
    <x:tableColumn id="5" name="quantity"/>
    <x:tableColumn id="6" name="unit_price"/>
    <x:tableColumn id="7" name="discount_pct"/>
    <x:tableColumn id="8" name="status"/>
    <x:tableColumn id="9" name="duplicate_flag"/>
    <x:tableColumn id="10" name="status_case_flag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ductsTable" displayName="ProductsTable" ref="A1:D9" headerRowCount="1" totalsRowCount="0" totalsRowShown="0">
  <x:tableColumns count="4">
    <x:tableColumn id="1" name="product_id"/>
    <x:tableColumn id="2" name="product_name"/>
    <x:tableColumn id="3" name="category"/>
    <x:tableColumn id="4" name="list_pri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toresTable" displayName="StoresTable" ref="A1:D4" headerRowCount="1" totalsRowCount="0" totalsRowShown="0">
  <x:tableColumns count="4">
    <x:tableColumn id="1" name="store_id"/>
    <x:tableColumn id="2" name="store_name"/>
    <x:tableColumn id="3" name="region"/>
    <x:tableColumn id="4" name="opened_d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996e8e42600492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0f71a4e738541f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b685dc1bb6b4f7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4" hidden="0" customWidth="1"/>
    <x:col min="3" max="3" width="38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>
      <x:c r="A1" s="4" t="str">
        <x:v>Databricks 카페 매출 핸즈온 — 샘플 데이터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4">
      <x:c r="A4" s="7" t="str">
        <x:v>항목</x:v>
      </x:c>
      <x:c r="B4" s="8" t="str">
        <x:v>내용</x:v>
      </x:c>
    </x:row>
    <x:row r="5">
      <x:c r="A5" s="9" t="str">
        <x:v>분석 기간</x:v>
      </x:c>
      <x:c r="B5" s="10" t="str">
        <x:v>2026-07-01 ~ 2026-07-14</x:v>
      </x:c>
    </x:row>
    <x:row r="6">
      <x:c r="A6" s="9" t="str">
        <x:v>주문 행 수</x:v>
      </x:c>
      <x:c r="B6" s="10" t="str">
        <x:v>300행 (고유 order_id 298개)</x:v>
      </x:c>
    </x:row>
    <x:row r="7">
      <x:c r="A7" s="9" t="str">
        <x:v>배치 파일</x:v>
      </x:c>
      <x:c r="B7" s="10" t="str">
        <x:v>orders_batch_001~003.csv, 각 100행</x:v>
      </x:c>
    </x:row>
    <x:row r="8">
      <x:c r="A8" s="9" t="str">
        <x:v>매장</x:v>
      </x:c>
      <x:c r="B8" s="10" t="str">
        <x:v>강남점·판교점·해운대점</x:v>
      </x:c>
    </x:row>
    <x:row r="9">
      <x:c r="A9" s="9" t="str">
        <x:v>상품</x:v>
      </x:c>
      <x:c r="B9" s="10" t="str">
        <x:v>커피·음료·푸드·디저트 8개</x:v>
      </x:c>
    </x:row>
    <x:row r="10">
      <x:c r="A10" s="11" t="str">
        <x:v>인코딩</x:v>
      </x:c>
      <x:c r="B10" s="12" t="str">
        <x:v>UTF-8, 헤더 포함</x:v>
      </x:c>
    </x:row>
    <x:row r="12">
      <x:c r="A12" s="7" t="str">
        <x:v>의도적 품질 이슈</x:v>
      </x:c>
      <x:c r="B12" s="14" t="str">
        <x:v>개수</x:v>
      </x:c>
      <x:c r="C12" s="8" t="str">
        <x:v>Silver 처리 예시</x:v>
      </x:c>
    </x:row>
    <x:row r="13">
      <x:c r="A13" s="15" t="str">
        <x:v>중복 주문</x:v>
      </x:c>
      <x:c r="B13" s="16" t="n">
        <x:v>2</x:v>
      </x:c>
      <x:c r="C13" s="17" t="str">
        <x:v>order_id 기준 중복 제거</x:v>
      </x:c>
    </x:row>
    <x:row r="14">
      <x:c r="A14" s="15" t="str">
        <x:v>0 이하 수량</x:v>
      </x:c>
      <x:c r="B14" s="16" t="n">
        <x:v>2</x:v>
      </x:c>
      <x:c r="C14" s="17" t="str">
        <x:v>Expectation으로 제거 또는 격리</x:v>
      </x:c>
    </x:row>
    <x:row r="15">
      <x:c r="A15" s="15" t="str">
        <x:v>NULL 할인율</x:v>
      </x:c>
      <x:c r="B15" s="16" t="n">
        <x:v>5</x:v>
      </x:c>
      <x:c r="C15" s="17" t="str">
        <x:v>0으로 치환</x:v>
      </x:c>
    </x:row>
    <x:row r="16">
      <x:c r="A16" s="15" t="str">
        <x:v>상태값 대소문자</x:v>
      </x:c>
      <x:c r="B16" s="16" t="n">
        <x:v>7</x:v>
      </x:c>
      <x:c r="C16" s="17" t="str">
        <x:v>UPPER(status)로 표준화</x:v>
      </x:c>
    </x:row>
    <x:row r="17">
      <x:c r="A17" s="15" t="str">
        <x:v>배치 간 중복</x:v>
      </x:c>
      <x:c r="B17" s="16" t="n">
        <x:v>2</x:v>
      </x:c>
      <x:c r="C17" s="17" t="str">
        <x:v>증분 적재 후 전체 키 기준 dedup</x:v>
      </x:c>
    </x:row>
    <x:row r="18">
      <x:c r="A18" s="11" t="str">
        <x:v>참고</x:v>
      </x:c>
      <x:c r="B18" s="18" t="str"/>
      <x:c r="C18" s="12" t="str">
        <x:v>CANCELLED 주문은 Gold 매출 집계에서 제외</x:v>
      </x:c>
    </x:row>
    <x:row r="20">
      <x:c r="A20" s="22" t="str">
        <x:v>CSV 파일은 Databricks Volume에 업로드해 사용하고, 이 XLSX는 데이터 검토용입니다. Orders 시트의 duplicate_flag와 status_case_flag는 CSV에는 포함되지 않습니다.</x:v>
      </x:c>
      <x:c r="B20" s="22"/>
      <x:c r="C20" s="22"/>
      <x:c r="D20" s="22"/>
      <x:c r="E20" s="22"/>
      <x:c r="F20" s="22"/>
      <x:c r="G20" s="22"/>
      <x:c r="H20" s="22"/>
    </x:row>
    <x:row r="21">
      <x:c r="A21" s="22"/>
      <x:c r="B21" s="22"/>
      <x:c r="C21" s="22"/>
      <x:c r="D21" s="22"/>
      <x:c r="E21" s="22"/>
      <x:c r="F21" s="22"/>
      <x:c r="G21" s="22"/>
      <x:c r="H21" s="22"/>
    </x:row>
  </x:sheetData>
  <x:mergeCells>
    <x:mergeCell ref="A1:H2"/>
    <x:mergeCell ref="A20:H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1" hidden="0" customWidth="1"/>
    <x:col min="3" max="3" width="12" hidden="0" customWidth="1"/>
    <x:col min="4" max="4" width="12" hidden="0" customWidth="1"/>
    <x:col min="5" max="5" width="10" hidden="0" customWidth="1"/>
    <x:col min="6" max="6" width="13" hidden="0" customWidth="1"/>
    <x:col min="7" max="7" width="13" hidden="0" customWidth="1"/>
    <x:col min="8" max="8" width="14" hidden="0" customWidth="1"/>
    <x:col min="9" max="9" width="14" hidden="0" customWidth="1"/>
    <x:col min="10" max="10" width="16" hidden="0" customWidth="1"/>
  </x:cols>
  <x:sheetData>
    <x:row r="1">
      <x:c r="A1" t="str">
        <x:v>order_id</x:v>
      </x:c>
      <x:c r="B1" t="str">
        <x:v>order_ts</x:v>
      </x:c>
      <x:c r="C1" t="str">
        <x:v>store_id</x:v>
      </x:c>
      <x:c r="D1" t="str">
        <x:v>product_id</x:v>
      </x:c>
      <x:c r="E1" t="str">
        <x:v>quantity</x:v>
      </x:c>
      <x:c r="F1" t="str">
        <x:v>unit_price</x:v>
      </x:c>
      <x:c r="G1" t="str">
        <x:v>discount_pct</x:v>
      </x:c>
      <x:c r="H1" t="str">
        <x:v>status</x:v>
      </x:c>
      <x:c r="I1" t="str">
        <x:v>duplicate_flag</x:v>
      </x:c>
      <x:c r="J1" t="str">
        <x:v>status_case_flag</x:v>
      </x:c>
    </x:row>
    <x:row r="2">
      <x:c r="A2" t="str">
        <x:v>O00001</x:v>
      </x:c>
      <x:c r="B2" t="str">
        <x:v>2026-07-10 10:43:43</x:v>
      </x:c>
      <x:c r="C2" t="str">
        <x:v>S001</x:v>
      </x:c>
      <x:c r="D2" t="str">
        <x:v>P004</x:v>
      </x:c>
      <x:c r="E2" s="23" t="n">
        <x:v>1</x:v>
      </x:c>
      <x:c r="F2" s="23" t="n">
        <x:v>4800</x:v>
      </x:c>
      <x:c r="G2" s="23" t="n">
        <x:v>0</x:v>
      </x:c>
      <x:c r="H2" t="str">
        <x:v>CANCELLED</x:v>
      </x:c>
      <x:c r="I2" t="n">
        <x:f>IF(COUNTIF($A$2:A2,A2)&gt;1,1,0)</x:f>
        <x:v>0</x:v>
      </x:c>
      <x:c r="J2" t="n">
        <x:f>IF(OR(EXACT(H2,"COMPLETED"),EXACT(H2,"CANCELLED")),0,1)</x:f>
        <x:v>0</x:v>
      </x:c>
    </x:row>
    <x:row r="3">
      <x:c r="A3" t="str">
        <x:v>O00002</x:v>
      </x:c>
      <x:c r="B3" t="str">
        <x:v>2026-07-06 11:59:10</x:v>
      </x:c>
      <x:c r="C3" t="str">
        <x:v>S001</x:v>
      </x:c>
      <x:c r="D3" t="str">
        <x:v>P007</x:v>
      </x:c>
      <x:c r="E3" s="23" t="n">
        <x:v>1</x:v>
      </x:c>
      <x:c r="F3" s="23" t="n">
        <x:v>3000</x:v>
      </x:c>
      <x:c r="G3" s="23" t="n">
        <x:v>0</x:v>
      </x:c>
      <x:c r="H3" t="str">
        <x:v>COMPLETED</x:v>
      </x:c>
      <x:c r="I3" t="n">
        <x:f>IF(COUNTIF($A$2:A3,A3)&gt;1,1,0)</x:f>
        <x:v>0</x:v>
      </x:c>
      <x:c r="J3" t="n">
        <x:f>IF(OR(EXACT(H3,"COMPLETED"),EXACT(H3,"CANCELLED")),0,1)</x:f>
        <x:v>0</x:v>
      </x:c>
    </x:row>
    <x:row r="4">
      <x:c r="A4" t="str">
        <x:v>O00003</x:v>
      </x:c>
      <x:c r="B4" t="str">
        <x:v>2026-07-11 13:25:18</x:v>
      </x:c>
      <x:c r="C4" t="str">
        <x:v>S001</x:v>
      </x:c>
      <x:c r="D4" t="str">
        <x:v>P002</x:v>
      </x:c>
      <x:c r="E4" s="23" t="n">
        <x:v>1</x:v>
      </x:c>
      <x:c r="F4" s="23" t="n">
        <x:v>5000</x:v>
      </x:c>
      <x:c r="G4" s="23" t="n">
        <x:v>0</x:v>
      </x:c>
      <x:c r="H4" t="str">
        <x:v>COMPLETED</x:v>
      </x:c>
      <x:c r="I4" t="n">
        <x:f>IF(COUNTIF($A$2:A4,A4)&gt;1,1,0)</x:f>
        <x:v>0</x:v>
      </x:c>
      <x:c r="J4" t="n">
        <x:f>IF(OR(EXACT(H4,"COMPLETED"),EXACT(H4,"CANCELLED")),0,1)</x:f>
        <x:v>0</x:v>
      </x:c>
    </x:row>
    <x:row r="5">
      <x:c r="A5" t="str">
        <x:v>O00004</x:v>
      </x:c>
      <x:c r="B5" t="str">
        <x:v>2026-07-14 21:16:13</x:v>
      </x:c>
      <x:c r="C5" t="str">
        <x:v>S003</x:v>
      </x:c>
      <x:c r="D5" t="str">
        <x:v>P006</x:v>
      </x:c>
      <x:c r="E5" s="23" t="n">
        <x:v>1</x:v>
      </x:c>
      <x:c r="F5" s="23" t="n">
        <x:v>7500</x:v>
      </x:c>
      <x:c r="G5" s="23" t="n">
        <x:v>0</x:v>
      </x:c>
      <x:c r="H5" t="str">
        <x:v>COMPLETED</x:v>
      </x:c>
      <x:c r="I5" t="n">
        <x:f>IF(COUNTIF($A$2:A5,A5)&gt;1,1,0)</x:f>
        <x:v>0</x:v>
      </x:c>
      <x:c r="J5" t="n">
        <x:f>IF(OR(EXACT(H5,"COMPLETED"),EXACT(H5,"CANCELLED")),0,1)</x:f>
        <x:v>0</x:v>
      </x:c>
    </x:row>
    <x:row r="6">
      <x:c r="A6" t="str">
        <x:v>O00005</x:v>
      </x:c>
      <x:c r="B6" t="str">
        <x:v>2026-07-09 21:55:48</x:v>
      </x:c>
      <x:c r="C6" t="str">
        <x:v>S001</x:v>
      </x:c>
      <x:c r="D6" t="str">
        <x:v>P008</x:v>
      </x:c>
      <x:c r="E6" s="23" t="n">
        <x:v>1</x:v>
      </x:c>
      <x:c r="F6" s="23" t="n">
        <x:v>4200</x:v>
      </x:c>
      <x:c r="G6" s="23" t="n">
        <x:v>0</x:v>
      </x:c>
      <x:c r="H6" t="str">
        <x:v>COMPLETED</x:v>
      </x:c>
      <x:c r="I6" t="n">
        <x:f>IF(COUNTIF($A$2:A6,A6)&gt;1,1,0)</x:f>
        <x:v>0</x:v>
      </x:c>
      <x:c r="J6" t="n">
        <x:f>IF(OR(EXACT(H6,"COMPLETED"),EXACT(H6,"CANCELLED")),0,1)</x:f>
        <x:v>0</x:v>
      </x:c>
    </x:row>
    <x:row r="7">
      <x:c r="A7" t="str">
        <x:v>O00006</x:v>
      </x:c>
      <x:c r="B7" t="str">
        <x:v>2026-07-13 08:05:25</x:v>
      </x:c>
      <x:c r="C7" t="str">
        <x:v>S002</x:v>
      </x:c>
      <x:c r="D7" t="str">
        <x:v>P003</x:v>
      </x:c>
      <x:c r="E7" s="23" t="n">
        <x:v>1</x:v>
      </x:c>
      <x:c r="F7" s="23" t="n">
        <x:v>5500</x:v>
      </x:c>
      <x:c r="G7" s="23" t="n">
        <x:v>0</x:v>
      </x:c>
      <x:c r="H7" t="str">
        <x:v>COMPLETED</x:v>
      </x:c>
      <x:c r="I7" t="n">
        <x:f>IF(COUNTIF($A$2:A7,A7)&gt;1,1,0)</x:f>
        <x:v>0</x:v>
      </x:c>
      <x:c r="J7" t="n">
        <x:f>IF(OR(EXACT(H7,"COMPLETED"),EXACT(H7,"CANCELLED")),0,1)</x:f>
        <x:v>0</x:v>
      </x:c>
    </x:row>
    <x:row r="8">
      <x:c r="A8" t="str">
        <x:v>O00007</x:v>
      </x:c>
      <x:c r="B8" t="str">
        <x:v>2026-07-12 19:49:11</x:v>
      </x:c>
      <x:c r="C8" t="str">
        <x:v>S003</x:v>
      </x:c>
      <x:c r="D8" t="str">
        <x:v>P001</x:v>
      </x:c>
      <x:c r="E8" s="23" t="n">
        <x:v>1</x:v>
      </x:c>
      <x:c r="F8" s="23" t="n">
        <x:v>4500</x:v>
      </x:c>
      <x:c r="G8" s="23" t="n">
        <x:v>0</x:v>
      </x:c>
      <x:c r="H8" t="str">
        <x:v>completed</x:v>
      </x:c>
      <x:c r="I8" t="n">
        <x:f>IF(COUNTIF($A$2:A8,A8)&gt;1,1,0)</x:f>
        <x:v>0</x:v>
      </x:c>
      <x:c r="J8" t="n">
        <x:f>IF(OR(EXACT(H8,"COMPLETED"),EXACT(H8,"CANCELLED")),0,1)</x:f>
        <x:v>1</x:v>
      </x:c>
    </x:row>
    <x:row r="9">
      <x:c r="A9" t="str">
        <x:v>O00008</x:v>
      </x:c>
      <x:c r="B9" t="str">
        <x:v>2026-07-04 11:26:52</x:v>
      </x:c>
      <x:c r="C9" t="str">
        <x:v>S001</x:v>
      </x:c>
      <x:c r="D9" t="str">
        <x:v>P007</x:v>
      </x:c>
      <x:c r="E9" s="23" t="n">
        <x:v>1</x:v>
      </x:c>
      <x:c r="F9" s="23" t="n">
        <x:v>3000</x:v>
      </x:c>
      <x:c r="G9" s="23" t="n">
        <x:v>0</x:v>
      </x:c>
      <x:c r="H9" t="str">
        <x:v>COMPLETED</x:v>
      </x:c>
      <x:c r="I9" t="n">
        <x:f>IF(COUNTIF($A$2:A9,A9)&gt;1,1,0)</x:f>
        <x:v>0</x:v>
      </x:c>
      <x:c r="J9" t="n">
        <x:f>IF(OR(EXACT(H9,"COMPLETED"),EXACT(H9,"CANCELLED")),0,1)</x:f>
        <x:v>0</x:v>
      </x:c>
    </x:row>
    <x:row r="10">
      <x:c r="A10" t="str">
        <x:v>O00009</x:v>
      </x:c>
      <x:c r="B10" t="str">
        <x:v>2026-07-07 13:16:49</x:v>
      </x:c>
      <x:c r="C10" t="str">
        <x:v>S001</x:v>
      </x:c>
      <x:c r="D10" t="str">
        <x:v>P006</x:v>
      </x:c>
      <x:c r="E10" s="23" t="n">
        <x:v>1</x:v>
      </x:c>
      <x:c r="F10" s="23" t="n">
        <x:v>7500</x:v>
      </x:c>
      <x:c r="G10" s="23" t="n">
        <x:v>0</x:v>
      </x:c>
      <x:c r="H10" t="str">
        <x:v>COMPLETED</x:v>
      </x:c>
      <x:c r="I10" t="n">
        <x:f>IF(COUNTIF($A$2:A10,A10)&gt;1,1,0)</x:f>
        <x:v>0</x:v>
      </x:c>
      <x:c r="J10" t="n">
        <x:f>IF(OR(EXACT(H10,"COMPLETED"),EXACT(H10,"CANCELLED")),0,1)</x:f>
        <x:v>0</x:v>
      </x:c>
    </x:row>
    <x:row r="11">
      <x:c r="A11" t="str">
        <x:v>O00010</x:v>
      </x:c>
      <x:c r="B11" t="str">
        <x:v>2026-07-01 17:08:48</x:v>
      </x:c>
      <x:c r="C11" t="str">
        <x:v>S003</x:v>
      </x:c>
      <x:c r="D11" t="str">
        <x:v>P004</x:v>
      </x:c>
      <x:c r="E11" s="23" t="n">
        <x:v>1</x:v>
      </x:c>
      <x:c r="F11" s="23" t="n">
        <x:v>4800</x:v>
      </x:c>
      <x:c r="G11" s="23" t="n">
        <x:v>0</x:v>
      </x:c>
      <x:c r="H11" t="str">
        <x:v>COMPLETED</x:v>
      </x:c>
      <x:c r="I11" t="n">
        <x:f>IF(COUNTIF($A$2:A11,A11)&gt;1,1,0)</x:f>
        <x:v>0</x:v>
      </x:c>
      <x:c r="J11" t="n">
        <x:f>IF(OR(EXACT(H11,"COMPLETED"),EXACT(H11,"CANCELLED")),0,1)</x:f>
        <x:v>0</x:v>
      </x:c>
    </x:row>
    <x:row r="12">
      <x:c r="A12" t="str">
        <x:v>O00011</x:v>
      </x:c>
      <x:c r="B12" t="str">
        <x:v>2026-07-03 16:43:04</x:v>
      </x:c>
      <x:c r="C12" t="str">
        <x:v>S002</x:v>
      </x:c>
      <x:c r="D12" t="str">
        <x:v>P002</x:v>
      </x:c>
      <x:c r="E12" s="23" t="n">
        <x:v>1</x:v>
      </x:c>
      <x:c r="F12" s="23" t="n">
        <x:v>5000</x:v>
      </x:c>
      <x:c r="G12" s="23" t="n">
        <x:v>0</x:v>
      </x:c>
      <x:c r="H12" t="str">
        <x:v>CANCELLED</x:v>
      </x:c>
      <x:c r="I12" t="n">
        <x:f>IF(COUNTIF($A$2:A12,A12)&gt;1,1,0)</x:f>
        <x:v>0</x:v>
      </x:c>
      <x:c r="J12" t="n">
        <x:f>IF(OR(EXACT(H12,"COMPLETED"),EXACT(H12,"CANCELLED")),0,1)</x:f>
        <x:v>0</x:v>
      </x:c>
    </x:row>
    <x:row r="13">
      <x:c r="A13" t="str">
        <x:v>O00012</x:v>
      </x:c>
      <x:c r="B13" t="str">
        <x:v>2026-07-08 21:56:33</x:v>
      </x:c>
      <x:c r="C13" t="str">
        <x:v>S002</x:v>
      </x:c>
      <x:c r="D13" t="str">
        <x:v>P007</x:v>
      </x:c>
      <x:c r="E13" s="23" t="n">
        <x:v>2</x:v>
      </x:c>
      <x:c r="F13" s="23" t="n">
        <x:v>3000</x:v>
      </x:c>
      <x:c r="G13" s="23" t="n">
        <x:v>0</x:v>
      </x:c>
      <x:c r="H13" t="str">
        <x:v>COMPLETED</x:v>
      </x:c>
      <x:c r="I13" t="n">
        <x:f>IF(COUNTIF($A$2:A13,A13)&gt;1,1,0)</x:f>
        <x:v>0</x:v>
      </x:c>
      <x:c r="J13" t="n">
        <x:f>IF(OR(EXACT(H13,"COMPLETED"),EXACT(H13,"CANCELLED")),0,1)</x:f>
        <x:v>0</x:v>
      </x:c>
    </x:row>
    <x:row r="14">
      <x:c r="A14" t="str">
        <x:v>O00013</x:v>
      </x:c>
      <x:c r="B14" t="str">
        <x:v>2026-07-09 20:25:25</x:v>
      </x:c>
      <x:c r="C14" t="str">
        <x:v>S003</x:v>
      </x:c>
      <x:c r="D14" t="str">
        <x:v>P001</x:v>
      </x:c>
      <x:c r="E14" s="23" t="n">
        <x:v>1</x:v>
      </x:c>
      <x:c r="F14" s="23" t="n">
        <x:v>4500</x:v>
      </x:c>
      <x:c r="G14" s="23" t="n">
        <x:v>0</x:v>
      </x:c>
      <x:c r="H14" t="str">
        <x:v>COMPLETED</x:v>
      </x:c>
      <x:c r="I14" t="n">
        <x:f>IF(COUNTIF($A$2:A14,A14)&gt;1,1,0)</x:f>
        <x:v>0</x:v>
      </x:c>
      <x:c r="J14" t="n">
        <x:f>IF(OR(EXACT(H14,"COMPLETED"),EXACT(H14,"CANCELLED")),0,1)</x:f>
        <x:v>0</x:v>
      </x:c>
    </x:row>
    <x:row r="15">
      <x:c r="A15" t="str">
        <x:v>O00014</x:v>
      </x:c>
      <x:c r="B15" t="str">
        <x:v>2026-07-02 07:01:16</x:v>
      </x:c>
      <x:c r="C15" t="str">
        <x:v>S002</x:v>
      </x:c>
      <x:c r="D15" t="str">
        <x:v>P001</x:v>
      </x:c>
      <x:c r="E15" s="23" t="n">
        <x:v>1</x:v>
      </x:c>
      <x:c r="F15" s="23" t="n">
        <x:v>4500</x:v>
      </x:c>
      <x:c r="G15" s="23" t="n">
        <x:v>0</x:v>
      </x:c>
      <x:c r="H15" t="str">
        <x:v>COMPLETED</x:v>
      </x:c>
      <x:c r="I15" t="n">
        <x:f>IF(COUNTIF($A$2:A15,A15)&gt;1,1,0)</x:f>
        <x:v>0</x:v>
      </x:c>
      <x:c r="J15" t="n">
        <x:f>IF(OR(EXACT(H15,"COMPLETED"),EXACT(H15,"CANCELLED")),0,1)</x:f>
        <x:v>0</x:v>
      </x:c>
    </x:row>
    <x:row r="16">
      <x:c r="A16" t="str">
        <x:v>O00015</x:v>
      </x:c>
      <x:c r="B16" t="str">
        <x:v>2026-07-07 13:38:13</x:v>
      </x:c>
      <x:c r="C16" t="str">
        <x:v>S003</x:v>
      </x:c>
      <x:c r="D16" t="str">
        <x:v>P003</x:v>
      </x:c>
      <x:c r="E16" s="23" t="n">
        <x:v>1</x:v>
      </x:c>
      <x:c r="F16" s="23" t="n">
        <x:v>5500</x:v>
      </x:c>
      <x:c r="G16" s="23" t="n">
        <x:v>0</x:v>
      </x:c>
      <x:c r="H16" t="str">
        <x:v>COMPLETED</x:v>
      </x:c>
      <x:c r="I16" t="n">
        <x:f>IF(COUNTIF($A$2:A16,A16)&gt;1,1,0)</x:f>
        <x:v>0</x:v>
      </x:c>
      <x:c r="J16" t="n">
        <x:f>IF(OR(EXACT(H16,"COMPLETED"),EXACT(H16,"CANCELLED")),0,1)</x:f>
        <x:v>0</x:v>
      </x:c>
    </x:row>
    <x:row r="17">
      <x:c r="A17" t="str">
        <x:v>O00016</x:v>
      </x:c>
      <x:c r="B17" t="str">
        <x:v>2026-07-12 18:17:38</x:v>
      </x:c>
      <x:c r="C17" t="str">
        <x:v>S001</x:v>
      </x:c>
      <x:c r="D17" t="str">
        <x:v>P003</x:v>
      </x:c>
      <x:c r="E17" s="23" t="n">
        <x:v>3</x:v>
      </x:c>
      <x:c r="F17" s="23" t="n">
        <x:v>5500</x:v>
      </x:c>
      <x:c r="G17" s="23" t="n">
        <x:v>0</x:v>
      </x:c>
      <x:c r="H17" t="str">
        <x:v>COMPLETED</x:v>
      </x:c>
      <x:c r="I17" t="n">
        <x:f>IF(COUNTIF($A$2:A17,A17)&gt;1,1,0)</x:f>
        <x:v>0</x:v>
      </x:c>
      <x:c r="J17" t="n">
        <x:f>IF(OR(EXACT(H17,"COMPLETED"),EXACT(H17,"CANCELLED")),0,1)</x:f>
        <x:v>0</x:v>
      </x:c>
    </x:row>
    <x:row r="18">
      <x:c r="A18" t="str">
        <x:v>O00017</x:v>
      </x:c>
      <x:c r="B18" t="str">
        <x:v>2026-07-05 08:00:32</x:v>
      </x:c>
      <x:c r="C18" t="str">
        <x:v>S001</x:v>
      </x:c>
      <x:c r="D18" t="str">
        <x:v>P006</x:v>
      </x:c>
      <x:c r="E18" s="23" t="n">
        <x:v>1</x:v>
      </x:c>
      <x:c r="F18" s="23" t="n">
        <x:v>7500</x:v>
      </x:c>
      <x:c r="G18" s="23" t="n">
        <x:v>0</x:v>
      </x:c>
      <x:c r="H18" t="str">
        <x:v>COMPLETED</x:v>
      </x:c>
      <x:c r="I18" t="n">
        <x:f>IF(COUNTIF($A$2:A18,A18)&gt;1,1,0)</x:f>
        <x:v>0</x:v>
      </x:c>
      <x:c r="J18" t="n">
        <x:f>IF(OR(EXACT(H18,"COMPLETED"),EXACT(H18,"CANCELLED")),0,1)</x:f>
        <x:v>0</x:v>
      </x:c>
    </x:row>
    <x:row r="19">
      <x:c r="A19" t="str">
        <x:v>O00018</x:v>
      </x:c>
      <x:c r="B19" t="str">
        <x:v>2026-07-08 11:58:06</x:v>
      </x:c>
      <x:c r="C19" t="str">
        <x:v>S002</x:v>
      </x:c>
      <x:c r="D19" t="str">
        <x:v>P001</x:v>
      </x:c>
      <x:c r="E19" s="23" t="n">
        <x:v>3</x:v>
      </x:c>
      <x:c r="F19" s="23" t="n">
        <x:v>4500</x:v>
      </x:c>
      <x:c r="G19" s="23" t="n">
        <x:v>0</x:v>
      </x:c>
      <x:c r="H19" t="str">
        <x:v>COMPLETED</x:v>
      </x:c>
      <x:c r="I19" t="n">
        <x:f>IF(COUNTIF($A$2:A19,A19)&gt;1,1,0)</x:f>
        <x:v>0</x:v>
      </x:c>
      <x:c r="J19" t="n">
        <x:f>IF(OR(EXACT(H19,"COMPLETED"),EXACT(H19,"CANCELLED")),0,1)</x:f>
        <x:v>0</x:v>
      </x:c>
    </x:row>
    <x:row r="20">
      <x:c r="A20" t="str">
        <x:v>O00019</x:v>
      </x:c>
      <x:c r="B20" t="str">
        <x:v>2026-07-11 09:48:44</x:v>
      </x:c>
      <x:c r="C20" t="str">
        <x:v>S002</x:v>
      </x:c>
      <x:c r="D20" t="str">
        <x:v>P001</x:v>
      </x:c>
      <x:c r="E20" s="23" t="n">
        <x:v>1</x:v>
      </x:c>
      <x:c r="F20" s="23" t="n">
        <x:v>4500</x:v>
      </x:c>
      <x:c r="G20" s="23" t="n">
        <x:v>0</x:v>
      </x:c>
      <x:c r="H20" t="str">
        <x:v>CANCELLED</x:v>
      </x:c>
      <x:c r="I20" t="n">
        <x:f>IF(COUNTIF($A$2:A20,A20)&gt;1,1,0)</x:f>
        <x:v>0</x:v>
      </x:c>
      <x:c r="J20" t="n">
        <x:f>IF(OR(EXACT(H20,"COMPLETED"),EXACT(H20,"CANCELLED")),0,1)</x:f>
        <x:v>0</x:v>
      </x:c>
    </x:row>
    <x:row r="21">
      <x:c r="A21" t="str">
        <x:v>O00020</x:v>
      </x:c>
      <x:c r="B21" t="str">
        <x:v>2026-07-08 17:52:05</x:v>
      </x:c>
      <x:c r="C21" t="str">
        <x:v>S001</x:v>
      </x:c>
      <x:c r="D21" t="str">
        <x:v>P001</x:v>
      </x:c>
      <x:c r="E21" s="23" t="n">
        <x:v>3</x:v>
      </x:c>
      <x:c r="F21" s="23" t="n">
        <x:v>4500</x:v>
      </x:c>
      <x:c r="G21" s="23" t="n">
        <x:v>0</x:v>
      </x:c>
      <x:c r="H21" t="str">
        <x:v>COMPLETED</x:v>
      </x:c>
      <x:c r="I21" t="n">
        <x:f>IF(COUNTIF($A$2:A21,A21)&gt;1,1,0)</x:f>
        <x:v>0</x:v>
      </x:c>
      <x:c r="J21" t="n">
        <x:f>IF(OR(EXACT(H21,"COMPLETED"),EXACT(H21,"CANCELLED")),0,1)</x:f>
        <x:v>0</x:v>
      </x:c>
    </x:row>
    <x:row r="22">
      <x:c r="A22" t="str">
        <x:v>O00021</x:v>
      </x:c>
      <x:c r="B22" t="str">
        <x:v>2026-07-09 08:22:58</x:v>
      </x:c>
      <x:c r="C22" t="str">
        <x:v>S003</x:v>
      </x:c>
      <x:c r="D22" t="str">
        <x:v>P003</x:v>
      </x:c>
      <x:c r="E22" s="23" t="n">
        <x:v>1</x:v>
      </x:c>
      <x:c r="F22" s="23" t="n">
        <x:v>5500</x:v>
      </x:c>
      <x:c r="G22" s="23" t="n">
        <x:v>0</x:v>
      </x:c>
      <x:c r="H22" t="str">
        <x:v>COMPLETED</x:v>
      </x:c>
      <x:c r="I22" t="n">
        <x:f>IF(COUNTIF($A$2:A22,A22)&gt;1,1,0)</x:f>
        <x:v>0</x:v>
      </x:c>
      <x:c r="J22" t="n">
        <x:f>IF(OR(EXACT(H22,"COMPLETED"),EXACT(H22,"CANCELLED")),0,1)</x:f>
        <x:v>0</x:v>
      </x:c>
    </x:row>
    <x:row r="23">
      <x:c r="A23" t="str">
        <x:v>O00022</x:v>
      </x:c>
      <x:c r="B23" t="str">
        <x:v>2026-07-03 21:03:01</x:v>
      </x:c>
      <x:c r="C23" t="str">
        <x:v>S001</x:v>
      </x:c>
      <x:c r="D23" t="str">
        <x:v>P003</x:v>
      </x:c>
      <x:c r="E23" s="23" t="n">
        <x:v>1</x:v>
      </x:c>
      <x:c r="F23" s="23" t="n">
        <x:v>5500</x:v>
      </x:c>
      <x:c r="G23" s="23" t="n">
        <x:v>0</x:v>
      </x:c>
      <x:c r="H23" t="str">
        <x:v>COMPLETED</x:v>
      </x:c>
      <x:c r="I23" t="n">
        <x:f>IF(COUNTIF($A$2:A23,A23)&gt;1,1,0)</x:f>
        <x:v>0</x:v>
      </x:c>
      <x:c r="J23" t="n">
        <x:f>IF(OR(EXACT(H23,"COMPLETED"),EXACT(H23,"CANCELLED")),0,1)</x:f>
        <x:v>0</x:v>
      </x:c>
    </x:row>
    <x:row r="24">
      <x:c r="A24" t="str">
        <x:v>O00023</x:v>
      </x:c>
      <x:c r="B24" t="str">
        <x:v>2026-07-02 08:35:56</x:v>
      </x:c>
      <x:c r="C24" t="str">
        <x:v>S002</x:v>
      </x:c>
      <x:c r="D24" t="str">
        <x:v>P008</x:v>
      </x:c>
      <x:c r="E24" s="23" t="n">
        <x:v>1</x:v>
      </x:c>
      <x:c r="F24" s="23" t="n">
        <x:v>4200</x:v>
      </x:c>
      <x:c r="G24" s="23" t="n">
        <x:v>0</x:v>
      </x:c>
      <x:c r="H24" t="str">
        <x:v>COMPLETED</x:v>
      </x:c>
      <x:c r="I24" t="n">
        <x:f>IF(COUNTIF($A$2:A24,A24)&gt;1,1,0)</x:f>
        <x:v>0</x:v>
      </x:c>
      <x:c r="J24" t="n">
        <x:f>IF(OR(EXACT(H24,"COMPLETED"),EXACT(H24,"CANCELLED")),0,1)</x:f>
        <x:v>0</x:v>
      </x:c>
    </x:row>
    <x:row r="25">
      <x:c r="A25" t="str">
        <x:v>O00024</x:v>
      </x:c>
      <x:c r="B25" t="str">
        <x:v>2026-07-07 17:08:24</x:v>
      </x:c>
      <x:c r="C25" t="str">
        <x:v>S002</x:v>
      </x:c>
      <x:c r="D25" t="str">
        <x:v>P003</x:v>
      </x:c>
      <x:c r="E25" s="23" t="n">
        <x:v>1</x:v>
      </x:c>
      <x:c r="F25" s="23" t="n">
        <x:v>5500</x:v>
      </x:c>
      <x:c r="G25" s="23" t="n">
        <x:v>20</x:v>
      </x:c>
      <x:c r="H25" t="str">
        <x:v>COMPLETED</x:v>
      </x:c>
      <x:c r="I25" t="n">
        <x:f>IF(COUNTIF($A$2:A25,A25)&gt;1,1,0)</x:f>
        <x:v>0</x:v>
      </x:c>
      <x:c r="J25" t="n">
        <x:f>IF(OR(EXACT(H25,"COMPLETED"),EXACT(H25,"CANCELLED")),0,1)</x:f>
        <x:v>0</x:v>
      </x:c>
    </x:row>
    <x:row r="26">
      <x:c r="A26" t="str">
        <x:v>O00025</x:v>
      </x:c>
      <x:c r="B26" t="str">
        <x:v>2026-07-03 14:12:54</x:v>
      </x:c>
      <x:c r="C26" t="str">
        <x:v>S001</x:v>
      </x:c>
      <x:c r="D26" t="str">
        <x:v>P003</x:v>
      </x:c>
      <x:c r="E26" s="23" t="n">
        <x:v>1</x:v>
      </x:c>
      <x:c r="F26" s="23" t="n">
        <x:v>5500</x:v>
      </x:c>
      <x:c r="G26" s="23" t="n">
        <x:v>10</x:v>
      </x:c>
      <x:c r="H26" t="str">
        <x:v>COMPLETED</x:v>
      </x:c>
      <x:c r="I26" t="n">
        <x:f>IF(COUNTIF($A$2:A26,A26)&gt;1,1,0)</x:f>
        <x:v>0</x:v>
      </x:c>
      <x:c r="J26" t="n">
        <x:f>IF(OR(EXACT(H26,"COMPLETED"),EXACT(H26,"CANCELLED")),0,1)</x:f>
        <x:v>0</x:v>
      </x:c>
    </x:row>
    <x:row r="27">
      <x:c r="A27" t="str">
        <x:v>O00026</x:v>
      </x:c>
      <x:c r="B27" t="str">
        <x:v>2026-07-01 10:25:54</x:v>
      </x:c>
      <x:c r="C27" t="str">
        <x:v>S002</x:v>
      </x:c>
      <x:c r="D27" t="str">
        <x:v>P007</x:v>
      </x:c>
      <x:c r="E27" s="23" t="n">
        <x:v>1</x:v>
      </x:c>
      <x:c r="F27" s="23" t="n">
        <x:v>3000</x:v>
      </x:c>
      <x:c r="G27" s="23" t="n">
        <x:v>0</x:v>
      </x:c>
      <x:c r="H27" t="str">
        <x:v>COMPLETED</x:v>
      </x:c>
      <x:c r="I27" t="n">
        <x:f>IF(COUNTIF($A$2:A27,A27)&gt;1,1,0)</x:f>
        <x:v>0</x:v>
      </x:c>
      <x:c r="J27" t="n">
        <x:f>IF(OR(EXACT(H27,"COMPLETED"),EXACT(H27,"CANCELLED")),0,1)</x:f>
        <x:v>0</x:v>
      </x:c>
    </x:row>
    <x:row r="28">
      <x:c r="A28" t="str">
        <x:v>O00027</x:v>
      </x:c>
      <x:c r="B28" t="str">
        <x:v>2026-07-10 13:33:05</x:v>
      </x:c>
      <x:c r="C28" t="str">
        <x:v>S001</x:v>
      </x:c>
      <x:c r="D28" t="str">
        <x:v>P003</x:v>
      </x:c>
      <x:c r="E28" s="23" t="n">
        <x:v>1</x:v>
      </x:c>
      <x:c r="F28" s="23" t="n">
        <x:v>5500</x:v>
      </x:c>
      <x:c r="G28" s="23" t="n">
        <x:v>0</x:v>
      </x:c>
      <x:c r="H28" t="str">
        <x:v>CANCELLED</x:v>
      </x:c>
      <x:c r="I28" t="n">
        <x:f>IF(COUNTIF($A$2:A28,A28)&gt;1,1,0)</x:f>
        <x:v>0</x:v>
      </x:c>
      <x:c r="J28" t="n">
        <x:f>IF(OR(EXACT(H28,"COMPLETED"),EXACT(H28,"CANCELLED")),0,1)</x:f>
        <x:v>0</x:v>
      </x:c>
    </x:row>
    <x:row r="29">
      <x:c r="A29" t="str">
        <x:v>O00028</x:v>
      </x:c>
      <x:c r="B29" t="str">
        <x:v>2026-07-13 16:49:09</x:v>
      </x:c>
      <x:c r="C29" t="str">
        <x:v>S001</x:v>
      </x:c>
      <x:c r="D29" t="str">
        <x:v>P002</x:v>
      </x:c>
      <x:c r="E29" s="23" t="n">
        <x:v>1</x:v>
      </x:c>
      <x:c r="F29" s="23" t="n">
        <x:v>5000</x:v>
      </x:c>
      <x:c r="G29" s="23" t="n">
        <x:v>0</x:v>
      </x:c>
      <x:c r="H29" t="str">
        <x:v>COMPLETED</x:v>
      </x:c>
      <x:c r="I29" t="n">
        <x:f>IF(COUNTIF($A$2:A29,A29)&gt;1,1,0)</x:f>
        <x:v>0</x:v>
      </x:c>
      <x:c r="J29" t="n">
        <x:f>IF(OR(EXACT(H29,"COMPLETED"),EXACT(H29,"CANCELLED")),0,1)</x:f>
        <x:v>0</x:v>
      </x:c>
    </x:row>
    <x:row r="30">
      <x:c r="A30" t="str">
        <x:v>O00029</x:v>
      </x:c>
      <x:c r="B30" t="str">
        <x:v>2026-07-10 11:17:22</x:v>
      </x:c>
      <x:c r="C30" t="str">
        <x:v>S001</x:v>
      </x:c>
      <x:c r="D30" t="str">
        <x:v>P007</x:v>
      </x:c>
      <x:c r="E30" s="23" t="n">
        <x:v>1</x:v>
      </x:c>
      <x:c r="F30" s="23" t="n">
        <x:v>3000</x:v>
      </x:c>
      <x:c r="G30" s="23" t="n">
        <x:v>0</x:v>
      </x:c>
      <x:c r="H30" t="str">
        <x:v>COMPLETED</x:v>
      </x:c>
      <x:c r="I30" t="n">
        <x:f>IF(COUNTIF($A$2:A30,A30)&gt;1,1,0)</x:f>
        <x:v>0</x:v>
      </x:c>
      <x:c r="J30" t="n">
        <x:f>IF(OR(EXACT(H30,"COMPLETED"),EXACT(H30,"CANCELLED")),0,1)</x:f>
        <x:v>0</x:v>
      </x:c>
    </x:row>
    <x:row r="31">
      <x:c r="A31" t="str">
        <x:v>O00030</x:v>
      </x:c>
      <x:c r="B31" t="str">
        <x:v>2026-07-13 18:38:53</x:v>
      </x:c>
      <x:c r="C31" t="str">
        <x:v>S003</x:v>
      </x:c>
      <x:c r="D31" t="str">
        <x:v>P007</x:v>
      </x:c>
      <x:c r="E31" s="23" t="n">
        <x:v>1</x:v>
      </x:c>
      <x:c r="F31" s="23" t="n">
        <x:v>3000</x:v>
      </x:c>
      <x:c r="G31" s="23" t="n">
        <x:v>0</x:v>
      </x:c>
      <x:c r="H31" t="str">
        <x:v>COMPLETED</x:v>
      </x:c>
      <x:c r="I31" t="n">
        <x:f>IF(COUNTIF($A$2:A31,A31)&gt;1,1,0)</x:f>
        <x:v>0</x:v>
      </x:c>
      <x:c r="J31" t="n">
        <x:f>IF(OR(EXACT(H31,"COMPLETED"),EXACT(H31,"CANCELLED")),0,1)</x:f>
        <x:v>0</x:v>
      </x:c>
    </x:row>
    <x:row r="32">
      <x:c r="A32" t="str">
        <x:v>O00031</x:v>
      </x:c>
      <x:c r="B32" t="str">
        <x:v>2026-07-12 13:17:03</x:v>
      </x:c>
      <x:c r="C32" t="str">
        <x:v>S002</x:v>
      </x:c>
      <x:c r="D32" t="str">
        <x:v>P002</x:v>
      </x:c>
      <x:c r="E32" s="23" t="n">
        <x:v>2</x:v>
      </x:c>
      <x:c r="F32" s="23" t="n">
        <x:v>5000</x:v>
      </x:c>
      <x:c r="G32" s="23" t="n">
        <x:v>0</x:v>
      </x:c>
      <x:c r="H32" t="str">
        <x:v>COMPLETED</x:v>
      </x:c>
      <x:c r="I32" t="n">
        <x:f>IF(COUNTIF($A$2:A32,A32)&gt;1,1,0)</x:f>
        <x:v>0</x:v>
      </x:c>
      <x:c r="J32" t="n">
        <x:f>IF(OR(EXACT(H32,"COMPLETED"),EXACT(H32,"CANCELLED")),0,1)</x:f>
        <x:v>0</x:v>
      </x:c>
    </x:row>
    <x:row r="33">
      <x:c r="A33" t="str">
        <x:v>O00032</x:v>
      </x:c>
      <x:c r="B33" t="str">
        <x:v>2026-07-02 07:05:58</x:v>
      </x:c>
      <x:c r="C33" t="str">
        <x:v>S001</x:v>
      </x:c>
      <x:c r="D33" t="str">
        <x:v>P002</x:v>
      </x:c>
      <x:c r="E33" s="23" t="n">
        <x:v>1</x:v>
      </x:c>
      <x:c r="F33" s="23" t="n">
        <x:v>5000</x:v>
      </x:c>
      <x:c r="G33" s="23" t="n">
        <x:v>0</x:v>
      </x:c>
      <x:c r="H33" t="str">
        <x:v>Completed</x:v>
      </x:c>
      <x:c r="I33" t="n">
        <x:f>IF(COUNTIF($A$2:A33,A33)&gt;1,1,0)</x:f>
        <x:v>0</x:v>
      </x:c>
      <x:c r="J33" t="n">
        <x:f>IF(OR(EXACT(H33,"COMPLETED"),EXACT(H33,"CANCELLED")),0,1)</x:f>
        <x:v>1</x:v>
      </x:c>
    </x:row>
    <x:row r="34">
      <x:c r="A34" t="str">
        <x:v>O00033</x:v>
      </x:c>
      <x:c r="B34" t="str">
        <x:v>2026-07-03 20:04:37</x:v>
      </x:c>
      <x:c r="C34" t="str">
        <x:v>S001</x:v>
      </x:c>
      <x:c r="D34" t="str">
        <x:v>P005</x:v>
      </x:c>
      <x:c r="E34" s="23" t="n">
        <x:v>2</x:v>
      </x:c>
      <x:c r="F34" s="23" t="n">
        <x:v>5500</x:v>
      </x:c>
      <x:c r="G34" s="23" t="n">
        <x:v>0</x:v>
      </x:c>
      <x:c r="H34" t="str">
        <x:v>COMPLETED</x:v>
      </x:c>
      <x:c r="I34" t="n">
        <x:f>IF(COUNTIF($A$2:A34,A34)&gt;1,1,0)</x:f>
        <x:v>0</x:v>
      </x:c>
      <x:c r="J34" t="n">
        <x:f>IF(OR(EXACT(H34,"COMPLETED"),EXACT(H34,"CANCELLED")),0,1)</x:f>
        <x:v>0</x:v>
      </x:c>
    </x:row>
    <x:row r="35">
      <x:c r="A35" t="str">
        <x:v>O00034</x:v>
      </x:c>
      <x:c r="B35" t="str">
        <x:v>2026-07-02 18:52:27</x:v>
      </x:c>
      <x:c r="C35" t="str">
        <x:v>S002</x:v>
      </x:c>
      <x:c r="D35" t="str">
        <x:v>P002</x:v>
      </x:c>
      <x:c r="E35" s="23" t="n">
        <x:v>1</x:v>
      </x:c>
      <x:c r="F35" s="23" t="n">
        <x:v>5000</x:v>
      </x:c>
      <x:c r="G35" s="23" t="n">
        <x:v>0</x:v>
      </x:c>
      <x:c r="H35" t="str">
        <x:v>COMPLETED</x:v>
      </x:c>
      <x:c r="I35" t="n">
        <x:f>IF(COUNTIF($A$2:A35,A35)&gt;1,1,0)</x:f>
        <x:v>0</x:v>
      </x:c>
      <x:c r="J35" t="n">
        <x:f>IF(OR(EXACT(H35,"COMPLETED"),EXACT(H35,"CANCELLED")),0,1)</x:f>
        <x:v>0</x:v>
      </x:c>
    </x:row>
    <x:row r="36">
      <x:c r="A36" t="str">
        <x:v>O00035</x:v>
      </x:c>
      <x:c r="B36" t="str">
        <x:v>2026-07-06 11:48:00</x:v>
      </x:c>
      <x:c r="C36" t="str">
        <x:v>S002</x:v>
      </x:c>
      <x:c r="D36" t="str">
        <x:v>P003</x:v>
      </x:c>
      <x:c r="E36" s="23" t="n">
        <x:v>1</x:v>
      </x:c>
      <x:c r="F36" s="23" t="n">
        <x:v>5500</x:v>
      </x:c>
      <x:c r="G36" s="23"/>
      <x:c r="H36" t="str">
        <x:v>COMPLETED</x:v>
      </x:c>
      <x:c r="I36" t="n">
        <x:f>IF(COUNTIF($A$2:A36,A36)&gt;1,1,0)</x:f>
        <x:v>0</x:v>
      </x:c>
      <x:c r="J36" t="n">
        <x:f>IF(OR(EXACT(H36,"COMPLETED"),EXACT(H36,"CANCELLED")),0,1)</x:f>
        <x:v>0</x:v>
      </x:c>
    </x:row>
    <x:row r="37">
      <x:c r="A37" t="str">
        <x:v>O00036</x:v>
      </x:c>
      <x:c r="B37" t="str">
        <x:v>2026-07-08 07:49:51</x:v>
      </x:c>
      <x:c r="C37" t="str">
        <x:v>S002</x:v>
      </x:c>
      <x:c r="D37" t="str">
        <x:v>P002</x:v>
      </x:c>
      <x:c r="E37" s="23" t="n">
        <x:v>1</x:v>
      </x:c>
      <x:c r="F37" s="23" t="n">
        <x:v>5000</x:v>
      </x:c>
      <x:c r="G37" s="23" t="n">
        <x:v>0</x:v>
      </x:c>
      <x:c r="H37" t="str">
        <x:v>COMPLETED</x:v>
      </x:c>
      <x:c r="I37" t="n">
        <x:f>IF(COUNTIF($A$2:A37,A37)&gt;1,1,0)</x:f>
        <x:v>0</x:v>
      </x:c>
      <x:c r="J37" t="n">
        <x:f>IF(OR(EXACT(H37,"COMPLETED"),EXACT(H37,"CANCELLED")),0,1)</x:f>
        <x:v>0</x:v>
      </x:c>
    </x:row>
    <x:row r="38">
      <x:c r="A38" t="str">
        <x:v>O00037</x:v>
      </x:c>
      <x:c r="B38" t="str">
        <x:v>2026-07-12 17:22:38</x:v>
      </x:c>
      <x:c r="C38" t="str">
        <x:v>S003</x:v>
      </x:c>
      <x:c r="D38" t="str">
        <x:v>P001</x:v>
      </x:c>
      <x:c r="E38" s="23" t="n">
        <x:v>2</x:v>
      </x:c>
      <x:c r="F38" s="23" t="n">
        <x:v>4500</x:v>
      </x:c>
      <x:c r="G38" s="23" t="n">
        <x:v>0</x:v>
      </x:c>
      <x:c r="H38" t="str">
        <x:v>COMPLETED</x:v>
      </x:c>
      <x:c r="I38" t="n">
        <x:f>IF(COUNTIF($A$2:A38,A38)&gt;1,1,0)</x:f>
        <x:v>0</x:v>
      </x:c>
      <x:c r="J38" t="n">
        <x:f>IF(OR(EXACT(H38,"COMPLETED"),EXACT(H38,"CANCELLED")),0,1)</x:f>
        <x:v>0</x:v>
      </x:c>
    </x:row>
    <x:row r="39">
      <x:c r="A39" t="str">
        <x:v>O00038</x:v>
      </x:c>
      <x:c r="B39" t="str">
        <x:v>2026-07-12 12:15:52</x:v>
      </x:c>
      <x:c r="C39" t="str">
        <x:v>S002</x:v>
      </x:c>
      <x:c r="D39" t="str">
        <x:v>P008</x:v>
      </x:c>
      <x:c r="E39" s="23" t="n">
        <x:v>1</x:v>
      </x:c>
      <x:c r="F39" s="23" t="n">
        <x:v>4200</x:v>
      </x:c>
      <x:c r="G39" s="23" t="n">
        <x:v>0</x:v>
      </x:c>
      <x:c r="H39" t="str">
        <x:v>COMPLETED</x:v>
      </x:c>
      <x:c r="I39" t="n">
        <x:f>IF(COUNTIF($A$2:A39,A39)&gt;1,1,0)</x:f>
        <x:v>0</x:v>
      </x:c>
      <x:c r="J39" t="n">
        <x:f>IF(OR(EXACT(H39,"COMPLETED"),EXACT(H39,"CANCELLED")),0,1)</x:f>
        <x:v>0</x:v>
      </x:c>
    </x:row>
    <x:row r="40">
      <x:c r="A40" t="str">
        <x:v>O00039</x:v>
      </x:c>
      <x:c r="B40" t="str">
        <x:v>2026-07-03 16:54:21</x:v>
      </x:c>
      <x:c r="C40" t="str">
        <x:v>S003</x:v>
      </x:c>
      <x:c r="D40" t="str">
        <x:v>P001</x:v>
      </x:c>
      <x:c r="E40" s="23" t="n">
        <x:v>1</x:v>
      </x:c>
      <x:c r="F40" s="23" t="n">
        <x:v>4500</x:v>
      </x:c>
      <x:c r="G40" s="23" t="n">
        <x:v>0</x:v>
      </x:c>
      <x:c r="H40" t="str">
        <x:v>CANCELLED</x:v>
      </x:c>
      <x:c r="I40" t="n">
        <x:f>IF(COUNTIF($A$2:A40,A40)&gt;1,1,0)</x:f>
        <x:v>0</x:v>
      </x:c>
      <x:c r="J40" t="n">
        <x:f>IF(OR(EXACT(H40,"COMPLETED"),EXACT(H40,"CANCELLED")),0,1)</x:f>
        <x:v>0</x:v>
      </x:c>
    </x:row>
    <x:row r="41">
      <x:c r="A41" t="str">
        <x:v>O00040</x:v>
      </x:c>
      <x:c r="B41" t="str">
        <x:v>2026-07-14 11:17:03</x:v>
      </x:c>
      <x:c r="C41" t="str">
        <x:v>S003</x:v>
      </x:c>
      <x:c r="D41" t="str">
        <x:v>P001</x:v>
      </x:c>
      <x:c r="E41" s="23" t="n">
        <x:v>1</x:v>
      </x:c>
      <x:c r="F41" s="23" t="n">
        <x:v>4500</x:v>
      </x:c>
      <x:c r="G41" s="23" t="n">
        <x:v>20</x:v>
      </x:c>
      <x:c r="H41" t="str">
        <x:v>COMPLETED</x:v>
      </x:c>
      <x:c r="I41" t="n">
        <x:f>IF(COUNTIF($A$2:A41,A41)&gt;1,1,0)</x:f>
        <x:v>0</x:v>
      </x:c>
      <x:c r="J41" t="n">
        <x:f>IF(OR(EXACT(H41,"COMPLETED"),EXACT(H41,"CANCELLED")),0,1)</x:f>
        <x:v>0</x:v>
      </x:c>
    </x:row>
    <x:row r="42">
      <x:c r="A42" t="str">
        <x:v>O00041</x:v>
      </x:c>
      <x:c r="B42" t="str">
        <x:v>2026-07-14 20:46:24</x:v>
      </x:c>
      <x:c r="C42" t="str">
        <x:v>S003</x:v>
      </x:c>
      <x:c r="D42" t="str">
        <x:v>P001</x:v>
      </x:c>
      <x:c r="E42" s="23" t="n">
        <x:v>1</x:v>
      </x:c>
      <x:c r="F42" s="23" t="n">
        <x:v>4500</x:v>
      </x:c>
      <x:c r="G42" s="23" t="n">
        <x:v>0</x:v>
      </x:c>
      <x:c r="H42" t="str">
        <x:v>COMPLETED</x:v>
      </x:c>
      <x:c r="I42" t="n">
        <x:f>IF(COUNTIF($A$2:A42,A42)&gt;1,1,0)</x:f>
        <x:v>0</x:v>
      </x:c>
      <x:c r="J42" t="n">
        <x:f>IF(OR(EXACT(H42,"COMPLETED"),EXACT(H42,"CANCELLED")),0,1)</x:f>
        <x:v>0</x:v>
      </x:c>
    </x:row>
    <x:row r="43">
      <x:c r="A43" t="str">
        <x:v>O00042</x:v>
      </x:c>
      <x:c r="B43" t="str">
        <x:v>2026-07-03 15:23:43</x:v>
      </x:c>
      <x:c r="C43" t="str">
        <x:v>S002</x:v>
      </x:c>
      <x:c r="D43" t="str">
        <x:v>P002</x:v>
      </x:c>
      <x:c r="E43" s="23" t="n">
        <x:v>1</x:v>
      </x:c>
      <x:c r="F43" s="23" t="n">
        <x:v>5000</x:v>
      </x:c>
      <x:c r="G43" s="23" t="n">
        <x:v>0</x:v>
      </x:c>
      <x:c r="H43" t="str">
        <x:v>COMPLETED</x:v>
      </x:c>
      <x:c r="I43" t="n">
        <x:f>IF(COUNTIF($A$2:A43,A43)&gt;1,1,0)</x:f>
        <x:v>0</x:v>
      </x:c>
      <x:c r="J43" t="n">
        <x:f>IF(OR(EXACT(H43,"COMPLETED"),EXACT(H43,"CANCELLED")),0,1)</x:f>
        <x:v>0</x:v>
      </x:c>
    </x:row>
    <x:row r="44">
      <x:c r="A44" t="str">
        <x:v>O00043</x:v>
      </x:c>
      <x:c r="B44" t="str">
        <x:v>2026-07-11 19:35:12</x:v>
      </x:c>
      <x:c r="C44" t="str">
        <x:v>S001</x:v>
      </x:c>
      <x:c r="D44" t="str">
        <x:v>P006</x:v>
      </x:c>
      <x:c r="E44" s="23" t="n">
        <x:v>1</x:v>
      </x:c>
      <x:c r="F44" s="23" t="n">
        <x:v>7500</x:v>
      </x:c>
      <x:c r="G44" s="23" t="n">
        <x:v>0</x:v>
      </x:c>
      <x:c r="H44" t="str">
        <x:v>COMPLETED</x:v>
      </x:c>
      <x:c r="I44" t="n">
        <x:f>IF(COUNTIF($A$2:A44,A44)&gt;1,1,0)</x:f>
        <x:v>0</x:v>
      </x:c>
      <x:c r="J44" t="n">
        <x:f>IF(OR(EXACT(H44,"COMPLETED"),EXACT(H44,"CANCELLED")),0,1)</x:f>
        <x:v>0</x:v>
      </x:c>
    </x:row>
    <x:row r="45">
      <x:c r="A45" t="str">
        <x:v>O00044</x:v>
      </x:c>
      <x:c r="B45" t="str">
        <x:v>2026-07-08 21:04:52</x:v>
      </x:c>
      <x:c r="C45" t="str">
        <x:v>S001</x:v>
      </x:c>
      <x:c r="D45" t="str">
        <x:v>P002</x:v>
      </x:c>
      <x:c r="E45" s="23" t="n">
        <x:v>1</x:v>
      </x:c>
      <x:c r="F45" s="23" t="n">
        <x:v>5000</x:v>
      </x:c>
      <x:c r="G45" s="23" t="n">
        <x:v>0</x:v>
      </x:c>
      <x:c r="H45" t="str">
        <x:v>COMPLETED</x:v>
      </x:c>
      <x:c r="I45" t="n">
        <x:f>IF(COUNTIF($A$2:A45,A45)&gt;1,1,0)</x:f>
        <x:v>0</x:v>
      </x:c>
      <x:c r="J45" t="n">
        <x:f>IF(OR(EXACT(H45,"COMPLETED"),EXACT(H45,"CANCELLED")),0,1)</x:f>
        <x:v>0</x:v>
      </x:c>
    </x:row>
    <x:row r="46">
      <x:c r="A46" t="str">
        <x:v>O00045</x:v>
      </x:c>
      <x:c r="B46" t="str">
        <x:v>2026-07-06 13:28:03</x:v>
      </x:c>
      <x:c r="C46" t="str">
        <x:v>S002</x:v>
      </x:c>
      <x:c r="D46" t="str">
        <x:v>P007</x:v>
      </x:c>
      <x:c r="E46" s="23" t="n">
        <x:v>1</x:v>
      </x:c>
      <x:c r="F46" s="23" t="n">
        <x:v>3000</x:v>
      </x:c>
      <x:c r="G46" s="23" t="n">
        <x:v>10</x:v>
      </x:c>
      <x:c r="H46" t="str">
        <x:v>COMPLETED</x:v>
      </x:c>
      <x:c r="I46" t="n">
        <x:f>IF(COUNTIF($A$2:A46,A46)&gt;1,1,0)</x:f>
        <x:v>0</x:v>
      </x:c>
      <x:c r="J46" t="n">
        <x:f>IF(OR(EXACT(H46,"COMPLETED"),EXACT(H46,"CANCELLED")),0,1)</x:f>
        <x:v>0</x:v>
      </x:c>
    </x:row>
    <x:row r="47">
      <x:c r="A47" t="str">
        <x:v>O00046</x:v>
      </x:c>
      <x:c r="B47" t="str">
        <x:v>2026-07-04 16:34:51</x:v>
      </x:c>
      <x:c r="C47" t="str">
        <x:v>S001</x:v>
      </x:c>
      <x:c r="D47" t="str">
        <x:v>P001</x:v>
      </x:c>
      <x:c r="E47" s="23" t="n">
        <x:v>1</x:v>
      </x:c>
      <x:c r="F47" s="23" t="n">
        <x:v>4500</x:v>
      </x:c>
      <x:c r="G47" s="23" t="n">
        <x:v>20</x:v>
      </x:c>
      <x:c r="H47" t="str">
        <x:v>COMPLETED</x:v>
      </x:c>
      <x:c r="I47" t="n">
        <x:f>IF(COUNTIF($A$2:A47,A47)&gt;1,1,0)</x:f>
        <x:v>0</x:v>
      </x:c>
      <x:c r="J47" t="n">
        <x:f>IF(OR(EXACT(H47,"COMPLETED"),EXACT(H47,"CANCELLED")),0,1)</x:f>
        <x:v>0</x:v>
      </x:c>
    </x:row>
    <x:row r="48">
      <x:c r="A48" t="str">
        <x:v>O00047</x:v>
      </x:c>
      <x:c r="B48" t="str">
        <x:v>2026-07-10 19:14:12</x:v>
      </x:c>
      <x:c r="C48" t="str">
        <x:v>S003</x:v>
      </x:c>
      <x:c r="D48" t="str">
        <x:v>P006</x:v>
      </x:c>
      <x:c r="E48" s="23" t="n">
        <x:v>2</x:v>
      </x:c>
      <x:c r="F48" s="23" t="n">
        <x:v>7500</x:v>
      </x:c>
      <x:c r="G48" s="23" t="n">
        <x:v>0</x:v>
      </x:c>
      <x:c r="H48" t="str">
        <x:v>COMPLETED</x:v>
      </x:c>
      <x:c r="I48" t="n">
        <x:f>IF(COUNTIF($A$2:A48,A48)&gt;1,1,0)</x:f>
        <x:v>0</x:v>
      </x:c>
      <x:c r="J48" t="n">
        <x:f>IF(OR(EXACT(H48,"COMPLETED"),EXACT(H48,"CANCELLED")),0,1)</x:f>
        <x:v>0</x:v>
      </x:c>
    </x:row>
    <x:row r="49">
      <x:c r="A49" t="str">
        <x:v>O00048</x:v>
      </x:c>
      <x:c r="B49" t="str">
        <x:v>2026-07-14 14:36:03</x:v>
      </x:c>
      <x:c r="C49" t="str">
        <x:v>S002</x:v>
      </x:c>
      <x:c r="D49" t="str">
        <x:v>P002</x:v>
      </x:c>
      <x:c r="E49" s="23" t="n">
        <x:v>1</x:v>
      </x:c>
      <x:c r="F49" s="23" t="n">
        <x:v>5000</x:v>
      </x:c>
      <x:c r="G49" s="23" t="n">
        <x:v>0</x:v>
      </x:c>
      <x:c r="H49" t="str">
        <x:v>COMPLETED</x:v>
      </x:c>
      <x:c r="I49" t="n">
        <x:f>IF(COUNTIF($A$2:A49,A49)&gt;1,1,0)</x:f>
        <x:v>0</x:v>
      </x:c>
      <x:c r="J49" t="n">
        <x:f>IF(OR(EXACT(H49,"COMPLETED"),EXACT(H49,"CANCELLED")),0,1)</x:f>
        <x:v>0</x:v>
      </x:c>
    </x:row>
    <x:row r="50">
      <x:c r="A50" t="str">
        <x:v>O00049</x:v>
      </x:c>
      <x:c r="B50" t="str">
        <x:v>2026-07-07 21:24:18</x:v>
      </x:c>
      <x:c r="C50" t="str">
        <x:v>S001</x:v>
      </x:c>
      <x:c r="D50" t="str">
        <x:v>P008</x:v>
      </x:c>
      <x:c r="E50" s="23" t="n">
        <x:v>2</x:v>
      </x:c>
      <x:c r="F50" s="23" t="n">
        <x:v>4200</x:v>
      </x:c>
      <x:c r="G50" s="23" t="n">
        <x:v>0</x:v>
      </x:c>
      <x:c r="H50" t="str">
        <x:v>COMPLETED</x:v>
      </x:c>
      <x:c r="I50" t="n">
        <x:f>IF(COUNTIF($A$2:A50,A50)&gt;1,1,0)</x:f>
        <x:v>0</x:v>
      </x:c>
      <x:c r="J50" t="n">
        <x:f>IF(OR(EXACT(H50,"COMPLETED"),EXACT(H50,"CANCELLED")),0,1)</x:f>
        <x:v>0</x:v>
      </x:c>
    </x:row>
    <x:row r="51">
      <x:c r="A51" t="str">
        <x:v>O00050</x:v>
      </x:c>
      <x:c r="B51" t="str">
        <x:v>2026-07-02 20:05:09</x:v>
      </x:c>
      <x:c r="C51" t="str">
        <x:v>S002</x:v>
      </x:c>
      <x:c r="D51" t="str">
        <x:v>P002</x:v>
      </x:c>
      <x:c r="E51" s="23" t="n">
        <x:v>1</x:v>
      </x:c>
      <x:c r="F51" s="23" t="n">
        <x:v>5000</x:v>
      </x:c>
      <x:c r="G51" s="23" t="n">
        <x:v>0</x:v>
      </x:c>
      <x:c r="H51" t="str">
        <x:v>COMPLETED</x:v>
      </x:c>
      <x:c r="I51" t="n">
        <x:f>IF(COUNTIF($A$2:A51,A51)&gt;1,1,0)</x:f>
        <x:v>0</x:v>
      </x:c>
      <x:c r="J51" t="n">
        <x:f>IF(OR(EXACT(H51,"COMPLETED"),EXACT(H51,"CANCELLED")),0,1)</x:f>
        <x:v>0</x:v>
      </x:c>
    </x:row>
    <x:row r="52">
      <x:c r="A52" t="str">
        <x:v>O00051</x:v>
      </x:c>
      <x:c r="B52" t="str">
        <x:v>2026-07-03 14:06:19</x:v>
      </x:c>
      <x:c r="C52" t="str">
        <x:v>S002</x:v>
      </x:c>
      <x:c r="D52" t="str">
        <x:v>P001</x:v>
      </x:c>
      <x:c r="E52" s="23" t="n">
        <x:v>2</x:v>
      </x:c>
      <x:c r="F52" s="23" t="n">
        <x:v>4500</x:v>
      </x:c>
      <x:c r="G52" s="23" t="n">
        <x:v>0</x:v>
      </x:c>
      <x:c r="H52" t="str">
        <x:v>COMPLETED</x:v>
      </x:c>
      <x:c r="I52" t="n">
        <x:f>IF(COUNTIF($A$2:A52,A52)&gt;1,1,0)</x:f>
        <x:v>0</x:v>
      </x:c>
      <x:c r="J52" t="n">
        <x:f>IF(OR(EXACT(H52,"COMPLETED"),EXACT(H52,"CANCELLED")),0,1)</x:f>
        <x:v>0</x:v>
      </x:c>
    </x:row>
    <x:row r="53">
      <x:c r="A53" t="str">
        <x:v>O00052</x:v>
      </x:c>
      <x:c r="B53" t="str">
        <x:v>2026-07-03 11:01:02</x:v>
      </x:c>
      <x:c r="C53" t="str">
        <x:v>S002</x:v>
      </x:c>
      <x:c r="D53" t="str">
        <x:v>P003</x:v>
      </x:c>
      <x:c r="E53" s="23" t="n">
        <x:v>1</x:v>
      </x:c>
      <x:c r="F53" s="23" t="n">
        <x:v>5500</x:v>
      </x:c>
      <x:c r="G53" s="23" t="n">
        <x:v>10</x:v>
      </x:c>
      <x:c r="H53" t="str">
        <x:v>COMPLETED</x:v>
      </x:c>
      <x:c r="I53" t="n">
        <x:f>IF(COUNTIF($A$2:A53,A53)&gt;1,1,0)</x:f>
        <x:v>0</x:v>
      </x:c>
      <x:c r="J53" t="n">
        <x:f>IF(OR(EXACT(H53,"COMPLETED"),EXACT(H53,"CANCELLED")),0,1)</x:f>
        <x:v>0</x:v>
      </x:c>
    </x:row>
    <x:row r="54">
      <x:c r="A54" t="str">
        <x:v>O00053</x:v>
      </x:c>
      <x:c r="B54" t="str">
        <x:v>2026-07-02 19:46:44</x:v>
      </x:c>
      <x:c r="C54" t="str">
        <x:v>S001</x:v>
      </x:c>
      <x:c r="D54" t="str">
        <x:v>P007</x:v>
      </x:c>
      <x:c r="E54" s="23" t="n">
        <x:v>1</x:v>
      </x:c>
      <x:c r="F54" s="23" t="n">
        <x:v>3000</x:v>
      </x:c>
      <x:c r="G54" s="23" t="n">
        <x:v>10</x:v>
      </x:c>
      <x:c r="H54" t="str">
        <x:v>COMPLETED</x:v>
      </x:c>
      <x:c r="I54" t="n">
        <x:f>IF(COUNTIF($A$2:A54,A54)&gt;1,1,0)</x:f>
        <x:v>0</x:v>
      </x:c>
      <x:c r="J54" t="n">
        <x:f>IF(OR(EXACT(H54,"COMPLETED"),EXACT(H54,"CANCELLED")),0,1)</x:f>
        <x:v>0</x:v>
      </x:c>
    </x:row>
    <x:row r="55">
      <x:c r="A55" t="str">
        <x:v>O00054</x:v>
      </x:c>
      <x:c r="B55" t="str">
        <x:v>2026-07-11 13:09:51</x:v>
      </x:c>
      <x:c r="C55" t="str">
        <x:v>S003</x:v>
      </x:c>
      <x:c r="D55" t="str">
        <x:v>P002</x:v>
      </x:c>
      <x:c r="E55" s="23" t="n">
        <x:v>2</x:v>
      </x:c>
      <x:c r="F55" s="23" t="n">
        <x:v>5000</x:v>
      </x:c>
      <x:c r="G55" s="23" t="n">
        <x:v>10</x:v>
      </x:c>
      <x:c r="H55" t="str">
        <x:v>CANCELLED</x:v>
      </x:c>
      <x:c r="I55" t="n">
        <x:f>IF(COUNTIF($A$2:A55,A55)&gt;1,1,0)</x:f>
        <x:v>0</x:v>
      </x:c>
      <x:c r="J55" t="n">
        <x:f>IF(OR(EXACT(H55,"COMPLETED"),EXACT(H55,"CANCELLED")),0,1)</x:f>
        <x:v>0</x:v>
      </x:c>
    </x:row>
    <x:row r="56">
      <x:c r="A56" t="str">
        <x:v>O00055</x:v>
      </x:c>
      <x:c r="B56" t="str">
        <x:v>2026-07-11 18:35:13</x:v>
      </x:c>
      <x:c r="C56" t="str">
        <x:v>S002</x:v>
      </x:c>
      <x:c r="D56" t="str">
        <x:v>P001</x:v>
      </x:c>
      <x:c r="E56" s="23" t="n">
        <x:v>1</x:v>
      </x:c>
      <x:c r="F56" s="23" t="n">
        <x:v>4500</x:v>
      </x:c>
      <x:c r="G56" s="23" t="n">
        <x:v>0</x:v>
      </x:c>
      <x:c r="H56" t="str">
        <x:v>COMPLETED</x:v>
      </x:c>
      <x:c r="I56" t="n">
        <x:f>IF(COUNTIF($A$2:A56,A56)&gt;1,1,0)</x:f>
        <x:v>0</x:v>
      </x:c>
      <x:c r="J56" t="n">
        <x:f>IF(OR(EXACT(H56,"COMPLETED"),EXACT(H56,"CANCELLED")),0,1)</x:f>
        <x:v>0</x:v>
      </x:c>
    </x:row>
    <x:row r="57">
      <x:c r="A57" t="str">
        <x:v>O00056</x:v>
      </x:c>
      <x:c r="B57" t="str">
        <x:v>2026-07-09 21:43:29</x:v>
      </x:c>
      <x:c r="C57" t="str">
        <x:v>S002</x:v>
      </x:c>
      <x:c r="D57" t="str">
        <x:v>P006</x:v>
      </x:c>
      <x:c r="E57" s="23" t="n">
        <x:v>2</x:v>
      </x:c>
      <x:c r="F57" s="23" t="n">
        <x:v>7500</x:v>
      </x:c>
      <x:c r="G57" s="23" t="n">
        <x:v>0</x:v>
      </x:c>
      <x:c r="H57" t="str">
        <x:v>COMPLETED</x:v>
      </x:c>
      <x:c r="I57" t="n">
        <x:f>IF(COUNTIF($A$2:A57,A57)&gt;1,1,0)</x:f>
        <x:v>0</x:v>
      </x:c>
      <x:c r="J57" t="n">
        <x:f>IF(OR(EXACT(H57,"COMPLETED"),EXACT(H57,"CANCELLED")),0,1)</x:f>
        <x:v>0</x:v>
      </x:c>
    </x:row>
    <x:row r="58">
      <x:c r="A58" t="str">
        <x:v>O00057</x:v>
      </x:c>
      <x:c r="B58" t="str">
        <x:v>2026-07-10 11:37:02</x:v>
      </x:c>
      <x:c r="C58" t="str">
        <x:v>S002</x:v>
      </x:c>
      <x:c r="D58" t="str">
        <x:v>P001</x:v>
      </x:c>
      <x:c r="E58" s="23" t="n">
        <x:v>1</x:v>
      </x:c>
      <x:c r="F58" s="23" t="n">
        <x:v>4500</x:v>
      </x:c>
      <x:c r="G58" s="23" t="n">
        <x:v>0</x:v>
      </x:c>
      <x:c r="H58" t="str">
        <x:v>CANCELLED</x:v>
      </x:c>
      <x:c r="I58" t="n">
        <x:f>IF(COUNTIF($A$2:A58,A58)&gt;1,1,0)</x:f>
        <x:v>0</x:v>
      </x:c>
      <x:c r="J58" t="n">
        <x:f>IF(OR(EXACT(H58,"COMPLETED"),EXACT(H58,"CANCELLED")),0,1)</x:f>
        <x:v>0</x:v>
      </x:c>
    </x:row>
    <x:row r="59">
      <x:c r="A59" t="str">
        <x:v>O00058</x:v>
      </x:c>
      <x:c r="B59" t="str">
        <x:v>2026-07-05 21:30:59</x:v>
      </x:c>
      <x:c r="C59" t="str">
        <x:v>S002</x:v>
      </x:c>
      <x:c r="D59" t="str">
        <x:v>P001</x:v>
      </x:c>
      <x:c r="E59" s="23" t="n">
        <x:v>0</x:v>
      </x:c>
      <x:c r="F59" s="23" t="n">
        <x:v>4500</x:v>
      </x:c>
      <x:c r="G59" s="23" t="n">
        <x:v>0</x:v>
      </x:c>
      <x:c r="H59" t="str">
        <x:v>COMPLETED</x:v>
      </x:c>
      <x:c r="I59" t="n">
        <x:f>IF(COUNTIF($A$2:A59,A59)&gt;1,1,0)</x:f>
        <x:v>0</x:v>
      </x:c>
      <x:c r="J59" t="n">
        <x:f>IF(OR(EXACT(H59,"COMPLETED"),EXACT(H59,"CANCELLED")),0,1)</x:f>
        <x:v>0</x:v>
      </x:c>
    </x:row>
    <x:row r="60">
      <x:c r="A60" t="str">
        <x:v>O00059</x:v>
      </x:c>
      <x:c r="B60" t="str">
        <x:v>2026-07-09 17:03:29</x:v>
      </x:c>
      <x:c r="C60" t="str">
        <x:v>S001</x:v>
      </x:c>
      <x:c r="D60" t="str">
        <x:v>P006</x:v>
      </x:c>
      <x:c r="E60" s="23" t="n">
        <x:v>1</x:v>
      </x:c>
      <x:c r="F60" s="23" t="n">
        <x:v>7500</x:v>
      </x:c>
      <x:c r="G60" s="23" t="n">
        <x:v>0</x:v>
      </x:c>
      <x:c r="H60" t="str">
        <x:v>COMPLETED</x:v>
      </x:c>
      <x:c r="I60" t="n">
        <x:f>IF(COUNTIF($A$2:A60,A60)&gt;1,1,0)</x:f>
        <x:v>0</x:v>
      </x:c>
      <x:c r="J60" t="n">
        <x:f>IF(OR(EXACT(H60,"COMPLETED"),EXACT(H60,"CANCELLED")),0,1)</x:f>
        <x:v>0</x:v>
      </x:c>
    </x:row>
    <x:row r="61">
      <x:c r="A61" t="str">
        <x:v>O00060</x:v>
      </x:c>
      <x:c r="B61" t="str">
        <x:v>2026-07-04 15:38:41</x:v>
      </x:c>
      <x:c r="C61" t="str">
        <x:v>S001</x:v>
      </x:c>
      <x:c r="D61" t="str">
        <x:v>P002</x:v>
      </x:c>
      <x:c r="E61" s="23" t="n">
        <x:v>1</x:v>
      </x:c>
      <x:c r="F61" s="23" t="n">
        <x:v>5000</x:v>
      </x:c>
      <x:c r="G61" s="23" t="n">
        <x:v>0</x:v>
      </x:c>
      <x:c r="H61" t="str">
        <x:v>COMPLETED</x:v>
      </x:c>
      <x:c r="I61" t="n">
        <x:f>IF(COUNTIF($A$2:A61,A61)&gt;1,1,0)</x:f>
        <x:v>0</x:v>
      </x:c>
      <x:c r="J61" t="n">
        <x:f>IF(OR(EXACT(H61,"COMPLETED"),EXACT(H61,"CANCELLED")),0,1)</x:f>
        <x:v>0</x:v>
      </x:c>
    </x:row>
    <x:row r="62">
      <x:c r="A62" t="str">
        <x:v>O00061</x:v>
      </x:c>
      <x:c r="B62" t="str">
        <x:v>2026-07-14 19:41:33</x:v>
      </x:c>
      <x:c r="C62" t="str">
        <x:v>S003</x:v>
      </x:c>
      <x:c r="D62" t="str">
        <x:v>P007</x:v>
      </x:c>
      <x:c r="E62" s="23" t="n">
        <x:v>2</x:v>
      </x:c>
      <x:c r="F62" s="23" t="n">
        <x:v>3000</x:v>
      </x:c>
      <x:c r="G62" s="23" t="n">
        <x:v>0</x:v>
      </x:c>
      <x:c r="H62" t="str">
        <x:v>COMPLETED</x:v>
      </x:c>
      <x:c r="I62" t="n">
        <x:f>IF(COUNTIF($A$2:A62,A62)&gt;1,1,0)</x:f>
        <x:v>0</x:v>
      </x:c>
      <x:c r="J62" t="n">
        <x:f>IF(OR(EXACT(H62,"COMPLETED"),EXACT(H62,"CANCELLED")),0,1)</x:f>
        <x:v>0</x:v>
      </x:c>
    </x:row>
    <x:row r="63">
      <x:c r="A63" t="str">
        <x:v>O00062</x:v>
      </x:c>
      <x:c r="B63" t="str">
        <x:v>2026-07-02 10:00:06</x:v>
      </x:c>
      <x:c r="C63" t="str">
        <x:v>S002</x:v>
      </x:c>
      <x:c r="D63" t="str">
        <x:v>P007</x:v>
      </x:c>
      <x:c r="E63" s="23" t="n">
        <x:v>1</x:v>
      </x:c>
      <x:c r="F63" s="23" t="n">
        <x:v>3000</x:v>
      </x:c>
      <x:c r="G63" s="23" t="n">
        <x:v>0</x:v>
      </x:c>
      <x:c r="H63" t="str">
        <x:v>COMPLETED</x:v>
      </x:c>
      <x:c r="I63" t="n">
        <x:f>IF(COUNTIF($A$2:A63,A63)&gt;1,1,0)</x:f>
        <x:v>0</x:v>
      </x:c>
      <x:c r="J63" t="n">
        <x:f>IF(OR(EXACT(H63,"COMPLETED"),EXACT(H63,"CANCELLED")),0,1)</x:f>
        <x:v>0</x:v>
      </x:c>
    </x:row>
    <x:row r="64">
      <x:c r="A64" t="str">
        <x:v>O00063</x:v>
      </x:c>
      <x:c r="B64" t="str">
        <x:v>2026-07-08 21:43:11</x:v>
      </x:c>
      <x:c r="C64" t="str">
        <x:v>S001</x:v>
      </x:c>
      <x:c r="D64" t="str">
        <x:v>P002</x:v>
      </x:c>
      <x:c r="E64" s="23" t="n">
        <x:v>1</x:v>
      </x:c>
      <x:c r="F64" s="23" t="n">
        <x:v>5000</x:v>
      </x:c>
      <x:c r="G64" s="23" t="n">
        <x:v>0</x:v>
      </x:c>
      <x:c r="H64" t="str">
        <x:v>CANCELLED</x:v>
      </x:c>
      <x:c r="I64" t="n">
        <x:f>IF(COUNTIF($A$2:A64,A64)&gt;1,1,0)</x:f>
        <x:v>0</x:v>
      </x:c>
      <x:c r="J64" t="n">
        <x:f>IF(OR(EXACT(H64,"COMPLETED"),EXACT(H64,"CANCELLED")),0,1)</x:f>
        <x:v>0</x:v>
      </x:c>
    </x:row>
    <x:row r="65">
      <x:c r="A65" t="str">
        <x:v>O00064</x:v>
      </x:c>
      <x:c r="B65" t="str">
        <x:v>2026-07-09 15:45:04</x:v>
      </x:c>
      <x:c r="C65" t="str">
        <x:v>S001</x:v>
      </x:c>
      <x:c r="D65" t="str">
        <x:v>P005</x:v>
      </x:c>
      <x:c r="E65" s="23" t="n">
        <x:v>1</x:v>
      </x:c>
      <x:c r="F65" s="23" t="n">
        <x:v>5500</x:v>
      </x:c>
      <x:c r="G65" s="23" t="n">
        <x:v>0</x:v>
      </x:c>
      <x:c r="H65" t="str">
        <x:v>COMPLETED</x:v>
      </x:c>
      <x:c r="I65" t="n">
        <x:f>IF(COUNTIF($A$2:A65,A65)&gt;1,1,0)</x:f>
        <x:v>0</x:v>
      </x:c>
      <x:c r="J65" t="n">
        <x:f>IF(OR(EXACT(H65,"COMPLETED"),EXACT(H65,"CANCELLED")),0,1)</x:f>
        <x:v>0</x:v>
      </x:c>
    </x:row>
    <x:row r="66">
      <x:c r="A66" t="str">
        <x:v>O00065</x:v>
      </x:c>
      <x:c r="B66" t="str">
        <x:v>2026-07-08 19:49:38</x:v>
      </x:c>
      <x:c r="C66" t="str">
        <x:v>S003</x:v>
      </x:c>
      <x:c r="D66" t="str">
        <x:v>P002</x:v>
      </x:c>
      <x:c r="E66" s="23" t="n">
        <x:v>2</x:v>
      </x:c>
      <x:c r="F66" s="23" t="n">
        <x:v>5000</x:v>
      </x:c>
      <x:c r="G66" s="23" t="n">
        <x:v>0</x:v>
      </x:c>
      <x:c r="H66" t="str">
        <x:v>COMPLETED</x:v>
      </x:c>
      <x:c r="I66" t="n">
        <x:f>IF(COUNTIF($A$2:A66,A66)&gt;1,1,0)</x:f>
        <x:v>0</x:v>
      </x:c>
      <x:c r="J66" t="n">
        <x:f>IF(OR(EXACT(H66,"COMPLETED"),EXACT(H66,"CANCELLED")),0,1)</x:f>
        <x:v>0</x:v>
      </x:c>
    </x:row>
    <x:row r="67">
      <x:c r="A67" t="str">
        <x:v>O00066</x:v>
      </x:c>
      <x:c r="B67" t="str">
        <x:v>2026-07-14 14:07:24</x:v>
      </x:c>
      <x:c r="C67" t="str">
        <x:v>S002</x:v>
      </x:c>
      <x:c r="D67" t="str">
        <x:v>P007</x:v>
      </x:c>
      <x:c r="E67" s="23" t="n">
        <x:v>1</x:v>
      </x:c>
      <x:c r="F67" s="23" t="n">
        <x:v>3000</x:v>
      </x:c>
      <x:c r="G67" s="23" t="n">
        <x:v>0</x:v>
      </x:c>
      <x:c r="H67" t="str">
        <x:v>COMPLETED</x:v>
      </x:c>
      <x:c r="I67" t="n">
        <x:f>IF(COUNTIF($A$2:A67,A67)&gt;1,1,0)</x:f>
        <x:v>0</x:v>
      </x:c>
      <x:c r="J67" t="n">
        <x:f>IF(OR(EXACT(H67,"COMPLETED"),EXACT(H67,"CANCELLED")),0,1)</x:f>
        <x:v>0</x:v>
      </x:c>
    </x:row>
    <x:row r="68">
      <x:c r="A68" t="str">
        <x:v>O00067</x:v>
      </x:c>
      <x:c r="B68" t="str">
        <x:v>2026-07-09 18:42:01</x:v>
      </x:c>
      <x:c r="C68" t="str">
        <x:v>S003</x:v>
      </x:c>
      <x:c r="D68" t="str">
        <x:v>P002</x:v>
      </x:c>
      <x:c r="E68" s="23" t="n">
        <x:v>1</x:v>
      </x:c>
      <x:c r="F68" s="23" t="n">
        <x:v>5000</x:v>
      </x:c>
      <x:c r="G68" s="23" t="n">
        <x:v>0</x:v>
      </x:c>
      <x:c r="H68" t="str">
        <x:v>COMPLETED</x:v>
      </x:c>
      <x:c r="I68" t="n">
        <x:f>IF(COUNTIF($A$2:A68,A68)&gt;1,1,0)</x:f>
        <x:v>0</x:v>
      </x:c>
      <x:c r="J68" t="n">
        <x:f>IF(OR(EXACT(H68,"COMPLETED"),EXACT(H68,"CANCELLED")),0,1)</x:f>
        <x:v>0</x:v>
      </x:c>
    </x:row>
    <x:row r="69">
      <x:c r="A69" t="str">
        <x:v>O00068</x:v>
      </x:c>
      <x:c r="B69" t="str">
        <x:v>2026-07-10 19:06:19</x:v>
      </x:c>
      <x:c r="C69" t="str">
        <x:v>S002</x:v>
      </x:c>
      <x:c r="D69" t="str">
        <x:v>P002</x:v>
      </x:c>
      <x:c r="E69" s="23" t="n">
        <x:v>1</x:v>
      </x:c>
      <x:c r="F69" s="23" t="n">
        <x:v>5000</x:v>
      </x:c>
      <x:c r="G69" s="23" t="n">
        <x:v>10</x:v>
      </x:c>
      <x:c r="H69" t="str">
        <x:v>COMPLETED</x:v>
      </x:c>
      <x:c r="I69" t="n">
        <x:f>IF(COUNTIF($A$2:A69,A69)&gt;1,1,0)</x:f>
        <x:v>0</x:v>
      </x:c>
      <x:c r="J69" t="n">
        <x:f>IF(OR(EXACT(H69,"COMPLETED"),EXACT(H69,"CANCELLED")),0,1)</x:f>
        <x:v>0</x:v>
      </x:c>
    </x:row>
    <x:row r="70">
      <x:c r="A70" t="str">
        <x:v>O00069</x:v>
      </x:c>
      <x:c r="B70" t="str">
        <x:v>2026-07-11 11:35:30</x:v>
      </x:c>
      <x:c r="C70" t="str">
        <x:v>S003</x:v>
      </x:c>
      <x:c r="D70" t="str">
        <x:v>P008</x:v>
      </x:c>
      <x:c r="E70" s="23" t="n">
        <x:v>1</x:v>
      </x:c>
      <x:c r="F70" s="23" t="n">
        <x:v>4200</x:v>
      </x:c>
      <x:c r="G70" s="23" t="n">
        <x:v>10</x:v>
      </x:c>
      <x:c r="H70" t="str">
        <x:v>COMPLETED</x:v>
      </x:c>
      <x:c r="I70" t="n">
        <x:f>IF(COUNTIF($A$2:A70,A70)&gt;1,1,0)</x:f>
        <x:v>0</x:v>
      </x:c>
      <x:c r="J70" t="n">
        <x:f>IF(OR(EXACT(H70,"COMPLETED"),EXACT(H70,"CANCELLED")),0,1)</x:f>
        <x:v>0</x:v>
      </x:c>
    </x:row>
    <x:row r="71">
      <x:c r="A71" t="str">
        <x:v>O00070</x:v>
      </x:c>
      <x:c r="B71" t="str">
        <x:v>2026-07-10 08:41:45</x:v>
      </x:c>
      <x:c r="C71" t="str">
        <x:v>S001</x:v>
      </x:c>
      <x:c r="D71" t="str">
        <x:v>P001</x:v>
      </x:c>
      <x:c r="E71" s="23" t="n">
        <x:v>1</x:v>
      </x:c>
      <x:c r="F71" s="23" t="n">
        <x:v>4500</x:v>
      </x:c>
      <x:c r="G71" s="23" t="n">
        <x:v>0</x:v>
      </x:c>
      <x:c r="H71" t="str">
        <x:v>CANCELLED</x:v>
      </x:c>
      <x:c r="I71" t="n">
        <x:f>IF(COUNTIF($A$2:A71,A71)&gt;1,1,0)</x:f>
        <x:v>0</x:v>
      </x:c>
      <x:c r="J71" t="n">
        <x:f>IF(OR(EXACT(H71,"COMPLETED"),EXACT(H71,"CANCELLED")),0,1)</x:f>
        <x:v>0</x:v>
      </x:c>
    </x:row>
    <x:row r="72">
      <x:c r="A72" t="str">
        <x:v>O00071</x:v>
      </x:c>
      <x:c r="B72" t="str">
        <x:v>2026-07-06 09:38:29</x:v>
      </x:c>
      <x:c r="C72" t="str">
        <x:v>S001</x:v>
      </x:c>
      <x:c r="D72" t="str">
        <x:v>P001</x:v>
      </x:c>
      <x:c r="E72" s="23" t="n">
        <x:v>1</x:v>
      </x:c>
      <x:c r="F72" s="23" t="n">
        <x:v>4500</x:v>
      </x:c>
      <x:c r="G72" s="23" t="n">
        <x:v>0</x:v>
      </x:c>
      <x:c r="H72" t="str">
        <x:v>COMPLETED</x:v>
      </x:c>
      <x:c r="I72" t="n">
        <x:f>IF(COUNTIF($A$2:A72,A72)&gt;1,1,0)</x:f>
        <x:v>0</x:v>
      </x:c>
      <x:c r="J72" t="n">
        <x:f>IF(OR(EXACT(H72,"COMPLETED"),EXACT(H72,"CANCELLED")),0,1)</x:f>
        <x:v>0</x:v>
      </x:c>
    </x:row>
    <x:row r="73">
      <x:c r="A73" t="str">
        <x:v>O00072</x:v>
      </x:c>
      <x:c r="B73" t="str">
        <x:v>2026-07-11 09:04:01</x:v>
      </x:c>
      <x:c r="C73" t="str">
        <x:v>S002</x:v>
      </x:c>
      <x:c r="D73" t="str">
        <x:v>P006</x:v>
      </x:c>
      <x:c r="E73" s="23" t="n">
        <x:v>1</x:v>
      </x:c>
      <x:c r="F73" s="23" t="n">
        <x:v>7500</x:v>
      </x:c>
      <x:c r="G73" s="23" t="n">
        <x:v>0</x:v>
      </x:c>
      <x:c r="H73" t="str">
        <x:v>COMPLETED</x:v>
      </x:c>
      <x:c r="I73" t="n">
        <x:f>IF(COUNTIF($A$2:A73,A73)&gt;1,1,0)</x:f>
        <x:v>0</x:v>
      </x:c>
      <x:c r="J73" t="n">
        <x:f>IF(OR(EXACT(H73,"COMPLETED"),EXACT(H73,"CANCELLED")),0,1)</x:f>
        <x:v>0</x:v>
      </x:c>
    </x:row>
    <x:row r="74">
      <x:c r="A74" t="str">
        <x:v>O00073</x:v>
      </x:c>
      <x:c r="B74" t="str">
        <x:v>2026-07-05 09:02:05</x:v>
      </x:c>
      <x:c r="C74" t="str">
        <x:v>S001</x:v>
      </x:c>
      <x:c r="D74" t="str">
        <x:v>P007</x:v>
      </x:c>
      <x:c r="E74" s="23" t="n">
        <x:v>2</x:v>
      </x:c>
      <x:c r="F74" s="23" t="n">
        <x:v>3000</x:v>
      </x:c>
      <x:c r="G74" s="23" t="n">
        <x:v>0</x:v>
      </x:c>
      <x:c r="H74" t="str">
        <x:v>COMPLETED</x:v>
      </x:c>
      <x:c r="I74" t="n">
        <x:f>IF(COUNTIF($A$2:A74,A74)&gt;1,1,0)</x:f>
        <x:v>0</x:v>
      </x:c>
      <x:c r="J74" t="n">
        <x:f>IF(OR(EXACT(H74,"COMPLETED"),EXACT(H74,"CANCELLED")),0,1)</x:f>
        <x:v>0</x:v>
      </x:c>
    </x:row>
    <x:row r="75">
      <x:c r="A75" t="str">
        <x:v>O00074</x:v>
      </x:c>
      <x:c r="B75" t="str">
        <x:v>2026-07-03 15:22:28</x:v>
      </x:c>
      <x:c r="C75" t="str">
        <x:v>S003</x:v>
      </x:c>
      <x:c r="D75" t="str">
        <x:v>P001</x:v>
      </x:c>
      <x:c r="E75" s="23" t="n">
        <x:v>1</x:v>
      </x:c>
      <x:c r="F75" s="23" t="n">
        <x:v>4500</x:v>
      </x:c>
      <x:c r="G75" s="23" t="n">
        <x:v>30</x:v>
      </x:c>
      <x:c r="H75" t="str">
        <x:v>COMPLETED</x:v>
      </x:c>
      <x:c r="I75" t="n">
        <x:f>IF(COUNTIF($A$2:A75,A75)&gt;1,1,0)</x:f>
        <x:v>0</x:v>
      </x:c>
      <x:c r="J75" t="n">
        <x:f>IF(OR(EXACT(H75,"COMPLETED"),EXACT(H75,"CANCELLED")),0,1)</x:f>
        <x:v>0</x:v>
      </x:c>
    </x:row>
    <x:row r="76">
      <x:c r="A76" t="str">
        <x:v>O00075</x:v>
      </x:c>
      <x:c r="B76" t="str">
        <x:v>2026-07-13 18:14:49</x:v>
      </x:c>
      <x:c r="C76" t="str">
        <x:v>S001</x:v>
      </x:c>
      <x:c r="D76" t="str">
        <x:v>P002</x:v>
      </x:c>
      <x:c r="E76" s="23" t="n">
        <x:v>1</x:v>
      </x:c>
      <x:c r="F76" s="23" t="n">
        <x:v>5000</x:v>
      </x:c>
      <x:c r="G76" s="23" t="n">
        <x:v>0</x:v>
      </x:c>
      <x:c r="H76" t="str">
        <x:v>COMPLETED</x:v>
      </x:c>
      <x:c r="I76" t="n">
        <x:f>IF(COUNTIF($A$2:A76,A76)&gt;1,1,0)</x:f>
        <x:v>0</x:v>
      </x:c>
      <x:c r="J76" t="n">
        <x:f>IF(OR(EXACT(H76,"COMPLETED"),EXACT(H76,"CANCELLED")),0,1)</x:f>
        <x:v>0</x:v>
      </x:c>
    </x:row>
    <x:row r="77">
      <x:c r="A77" t="str">
        <x:v>O00076</x:v>
      </x:c>
      <x:c r="B77" t="str">
        <x:v>2026-07-12 09:33:00</x:v>
      </x:c>
      <x:c r="C77" t="str">
        <x:v>S003</x:v>
      </x:c>
      <x:c r="D77" t="str">
        <x:v>P003</x:v>
      </x:c>
      <x:c r="E77" s="23" t="n">
        <x:v>1</x:v>
      </x:c>
      <x:c r="F77" s="23" t="n">
        <x:v>5500</x:v>
      </x:c>
      <x:c r="G77" s="23" t="n">
        <x:v>0</x:v>
      </x:c>
      <x:c r="H77" t="str">
        <x:v>COMPLETED</x:v>
      </x:c>
      <x:c r="I77" t="n">
        <x:f>IF(COUNTIF($A$2:A77,A77)&gt;1,1,0)</x:f>
        <x:v>0</x:v>
      </x:c>
      <x:c r="J77" t="n">
        <x:f>IF(OR(EXACT(H77,"COMPLETED"),EXACT(H77,"CANCELLED")),0,1)</x:f>
        <x:v>0</x:v>
      </x:c>
    </x:row>
    <x:row r="78">
      <x:c r="A78" t="str">
        <x:v>O00077</x:v>
      </x:c>
      <x:c r="B78" t="str">
        <x:v>2026-07-11 09:34:12</x:v>
      </x:c>
      <x:c r="C78" t="str">
        <x:v>S001</x:v>
      </x:c>
      <x:c r="D78" t="str">
        <x:v>P004</x:v>
      </x:c>
      <x:c r="E78" s="23" t="n">
        <x:v>1</x:v>
      </x:c>
      <x:c r="F78" s="23" t="n">
        <x:v>4800</x:v>
      </x:c>
      <x:c r="G78" s="23" t="n">
        <x:v>0</x:v>
      </x:c>
      <x:c r="H78" t="str">
        <x:v>COMPLETED</x:v>
      </x:c>
      <x:c r="I78" t="n">
        <x:f>IF(COUNTIF($A$2:A78,A78)&gt;1,1,0)</x:f>
        <x:v>0</x:v>
      </x:c>
      <x:c r="J78" t="n">
        <x:f>IF(OR(EXACT(H78,"COMPLETED"),EXACT(H78,"CANCELLED")),0,1)</x:f>
        <x:v>0</x:v>
      </x:c>
    </x:row>
    <x:row r="79">
      <x:c r="A79" t="str">
        <x:v>O00078</x:v>
      </x:c>
      <x:c r="B79" t="str">
        <x:v>2026-07-04 14:15:20</x:v>
      </x:c>
      <x:c r="C79" t="str">
        <x:v>S003</x:v>
      </x:c>
      <x:c r="D79" t="str">
        <x:v>P007</x:v>
      </x:c>
      <x:c r="E79" s="23" t="n">
        <x:v>1</x:v>
      </x:c>
      <x:c r="F79" s="23" t="n">
        <x:v>3000</x:v>
      </x:c>
      <x:c r="G79" s="23"/>
      <x:c r="H79" t="str">
        <x:v>COMPLETED</x:v>
      </x:c>
      <x:c r="I79" t="n">
        <x:f>IF(COUNTIF($A$2:A79,A79)&gt;1,1,0)</x:f>
        <x:v>0</x:v>
      </x:c>
      <x:c r="J79" t="n">
        <x:f>IF(OR(EXACT(H79,"COMPLETED"),EXACT(H79,"CANCELLED")),0,1)</x:f>
        <x:v>0</x:v>
      </x:c>
    </x:row>
    <x:row r="80">
      <x:c r="A80" t="str">
        <x:v>O00079</x:v>
      </x:c>
      <x:c r="B80" t="str">
        <x:v>2026-07-08 07:02:25</x:v>
      </x:c>
      <x:c r="C80" t="str">
        <x:v>S001</x:v>
      </x:c>
      <x:c r="D80" t="str">
        <x:v>P004</x:v>
      </x:c>
      <x:c r="E80" s="23" t="n">
        <x:v>1</x:v>
      </x:c>
      <x:c r="F80" s="23" t="n">
        <x:v>4800</x:v>
      </x:c>
      <x:c r="G80" s="23" t="n">
        <x:v>0</x:v>
      </x:c>
      <x:c r="H80" t="str">
        <x:v>COMPLETED</x:v>
      </x:c>
      <x:c r="I80" t="n">
        <x:f>IF(COUNTIF($A$2:A80,A80)&gt;1,1,0)</x:f>
        <x:v>0</x:v>
      </x:c>
      <x:c r="J80" t="n">
        <x:f>IF(OR(EXACT(H80,"COMPLETED"),EXACT(H80,"CANCELLED")),0,1)</x:f>
        <x:v>0</x:v>
      </x:c>
    </x:row>
    <x:row r="81">
      <x:c r="A81" t="str">
        <x:v>O00080</x:v>
      </x:c>
      <x:c r="B81" t="str">
        <x:v>2026-07-08 10:38:25</x:v>
      </x:c>
      <x:c r="C81" t="str">
        <x:v>S002</x:v>
      </x:c>
      <x:c r="D81" t="str">
        <x:v>P002</x:v>
      </x:c>
      <x:c r="E81" s="23" t="n">
        <x:v>1</x:v>
      </x:c>
      <x:c r="F81" s="23" t="n">
        <x:v>5000</x:v>
      </x:c>
      <x:c r="G81" s="23" t="n">
        <x:v>0</x:v>
      </x:c>
      <x:c r="H81" t="str">
        <x:v>COMPLETED</x:v>
      </x:c>
      <x:c r="I81" t="n">
        <x:f>IF(COUNTIF($A$2:A81,A81)&gt;1,1,0)</x:f>
        <x:v>0</x:v>
      </x:c>
      <x:c r="J81" t="n">
        <x:f>IF(OR(EXACT(H81,"COMPLETED"),EXACT(H81,"CANCELLED")),0,1)</x:f>
        <x:v>0</x:v>
      </x:c>
    </x:row>
    <x:row r="82">
      <x:c r="A82" t="str">
        <x:v>O00081</x:v>
      </x:c>
      <x:c r="B82" t="str">
        <x:v>2026-07-07 18:31:24</x:v>
      </x:c>
      <x:c r="C82" t="str">
        <x:v>S002</x:v>
      </x:c>
      <x:c r="D82" t="str">
        <x:v>P003</x:v>
      </x:c>
      <x:c r="E82" s="23" t="n">
        <x:v>1</x:v>
      </x:c>
      <x:c r="F82" s="23" t="n">
        <x:v>5500</x:v>
      </x:c>
      <x:c r="G82" s="23" t="n">
        <x:v>0</x:v>
      </x:c>
      <x:c r="H82" t="str">
        <x:v>CANCELLED</x:v>
      </x:c>
      <x:c r="I82" t="n">
        <x:f>IF(COUNTIF($A$2:A82,A82)&gt;1,1,0)</x:f>
        <x:v>0</x:v>
      </x:c>
      <x:c r="J82" t="n">
        <x:f>IF(OR(EXACT(H82,"COMPLETED"),EXACT(H82,"CANCELLED")),0,1)</x:f>
        <x:v>0</x:v>
      </x:c>
    </x:row>
    <x:row r="83">
      <x:c r="A83" t="str">
        <x:v>O00082</x:v>
      </x:c>
      <x:c r="B83" t="str">
        <x:v>2026-07-01 14:36:23</x:v>
      </x:c>
      <x:c r="C83" t="str">
        <x:v>S001</x:v>
      </x:c>
      <x:c r="D83" t="str">
        <x:v>P004</x:v>
      </x:c>
      <x:c r="E83" s="23" t="n">
        <x:v>1</x:v>
      </x:c>
      <x:c r="F83" s="23" t="n">
        <x:v>4800</x:v>
      </x:c>
      <x:c r="G83" s="23" t="n">
        <x:v>0</x:v>
      </x:c>
      <x:c r="H83" t="str">
        <x:v>COMPLETED</x:v>
      </x:c>
      <x:c r="I83" t="n">
        <x:f>IF(COUNTIF($A$2:A83,A83)&gt;1,1,0)</x:f>
        <x:v>0</x:v>
      </x:c>
      <x:c r="J83" t="n">
        <x:f>IF(OR(EXACT(H83,"COMPLETED"),EXACT(H83,"CANCELLED")),0,1)</x:f>
        <x:v>0</x:v>
      </x:c>
    </x:row>
    <x:row r="84">
      <x:c r="A84" t="str">
        <x:v>O00083</x:v>
      </x:c>
      <x:c r="B84" t="str">
        <x:v>2026-07-03 10:28:52</x:v>
      </x:c>
      <x:c r="C84" t="str">
        <x:v>S003</x:v>
      </x:c>
      <x:c r="D84" t="str">
        <x:v>P001</x:v>
      </x:c>
      <x:c r="E84" s="23" t="n">
        <x:v>1</x:v>
      </x:c>
      <x:c r="F84" s="23" t="n">
        <x:v>4500</x:v>
      </x:c>
      <x:c r="G84" s="23" t="n">
        <x:v>0</x:v>
      </x:c>
      <x:c r="H84" t="str">
        <x:v>COMPLETED</x:v>
      </x:c>
      <x:c r="I84" t="n">
        <x:f>IF(COUNTIF($A$2:A84,A84)&gt;1,1,0)</x:f>
        <x:v>0</x:v>
      </x:c>
      <x:c r="J84" t="n">
        <x:f>IF(OR(EXACT(H84,"COMPLETED"),EXACT(H84,"CANCELLED")),0,1)</x:f>
        <x:v>0</x:v>
      </x:c>
    </x:row>
    <x:row r="85">
      <x:c r="A85" t="str">
        <x:v>O00084</x:v>
      </x:c>
      <x:c r="B85" t="str">
        <x:v>2026-07-10 14:49:46</x:v>
      </x:c>
      <x:c r="C85" t="str">
        <x:v>S002</x:v>
      </x:c>
      <x:c r="D85" t="str">
        <x:v>P001</x:v>
      </x:c>
      <x:c r="E85" s="23" t="n">
        <x:v>1</x:v>
      </x:c>
      <x:c r="F85" s="23" t="n">
        <x:v>4500</x:v>
      </x:c>
      <x:c r="G85" s="23" t="n">
        <x:v>0</x:v>
      </x:c>
      <x:c r="H85" t="str">
        <x:v>COMPLETED</x:v>
      </x:c>
      <x:c r="I85" t="n">
        <x:f>IF(COUNTIF($A$2:A85,A85)&gt;1,1,0)</x:f>
        <x:v>0</x:v>
      </x:c>
      <x:c r="J85" t="n">
        <x:f>IF(OR(EXACT(H85,"COMPLETED"),EXACT(H85,"CANCELLED")),0,1)</x:f>
        <x:v>0</x:v>
      </x:c>
    </x:row>
    <x:row r="86">
      <x:c r="A86" t="str">
        <x:v>O00085</x:v>
      </x:c>
      <x:c r="B86" t="str">
        <x:v>2026-07-12 19:37:44</x:v>
      </x:c>
      <x:c r="C86" t="str">
        <x:v>S003</x:v>
      </x:c>
      <x:c r="D86" t="str">
        <x:v>P006</x:v>
      </x:c>
      <x:c r="E86" s="23" t="n">
        <x:v>1</x:v>
      </x:c>
      <x:c r="F86" s="23" t="n">
        <x:v>7500</x:v>
      </x:c>
      <x:c r="G86" s="23" t="n">
        <x:v>10</x:v>
      </x:c>
      <x:c r="H86" t="str">
        <x:v>COMPLETED</x:v>
      </x:c>
      <x:c r="I86" t="n">
        <x:f>IF(COUNTIF($A$2:A86,A86)&gt;1,1,0)</x:f>
        <x:v>0</x:v>
      </x:c>
      <x:c r="J86" t="n">
        <x:f>IF(OR(EXACT(H86,"COMPLETED"),EXACT(H86,"CANCELLED")),0,1)</x:f>
        <x:v>0</x:v>
      </x:c>
    </x:row>
    <x:row r="87">
      <x:c r="A87" t="str">
        <x:v>O00086</x:v>
      </x:c>
      <x:c r="B87" t="str">
        <x:v>2026-07-11 18:20:29</x:v>
      </x:c>
      <x:c r="C87" t="str">
        <x:v>S002</x:v>
      </x:c>
      <x:c r="D87" t="str">
        <x:v>P005</x:v>
      </x:c>
      <x:c r="E87" s="23" t="n">
        <x:v>1</x:v>
      </x:c>
      <x:c r="F87" s="23" t="n">
        <x:v>5500</x:v>
      </x:c>
      <x:c r="G87" s="23" t="n">
        <x:v>0</x:v>
      </x:c>
      <x:c r="H87" t="str">
        <x:v>COMPLETED</x:v>
      </x:c>
      <x:c r="I87" t="n">
        <x:f>IF(COUNTIF($A$2:A87,A87)&gt;1,1,0)</x:f>
        <x:v>0</x:v>
      </x:c>
      <x:c r="J87" t="n">
        <x:f>IF(OR(EXACT(H87,"COMPLETED"),EXACT(H87,"CANCELLED")),0,1)</x:f>
        <x:v>0</x:v>
      </x:c>
    </x:row>
    <x:row r="88">
      <x:c r="A88" t="str">
        <x:v>O00087</x:v>
      </x:c>
      <x:c r="B88" t="str">
        <x:v>2026-07-11 13:42:17</x:v>
      </x:c>
      <x:c r="C88" t="str">
        <x:v>S002</x:v>
      </x:c>
      <x:c r="D88" t="str">
        <x:v>P005</x:v>
      </x:c>
      <x:c r="E88" s="23" t="n">
        <x:v>1</x:v>
      </x:c>
      <x:c r="F88" s="23" t="n">
        <x:v>5500</x:v>
      </x:c>
      <x:c r="G88" s="23" t="n">
        <x:v>0</x:v>
      </x:c>
      <x:c r="H88" t="str">
        <x:v>COMPLETED</x:v>
      </x:c>
      <x:c r="I88" t="n">
        <x:f>IF(COUNTIF($A$2:A88,A88)&gt;1,1,0)</x:f>
        <x:v>0</x:v>
      </x:c>
      <x:c r="J88" t="n">
        <x:f>IF(OR(EXACT(H88,"COMPLETED"),EXACT(H88,"CANCELLED")),0,1)</x:f>
        <x:v>0</x:v>
      </x:c>
    </x:row>
    <x:row r="89">
      <x:c r="A89" t="str">
        <x:v>O00088</x:v>
      </x:c>
      <x:c r="B89" t="str">
        <x:v>2026-07-04 12:36:25</x:v>
      </x:c>
      <x:c r="C89" t="str">
        <x:v>S002</x:v>
      </x:c>
      <x:c r="D89" t="str">
        <x:v>P001</x:v>
      </x:c>
      <x:c r="E89" s="23" t="n">
        <x:v>1</x:v>
      </x:c>
      <x:c r="F89" s="23" t="n">
        <x:v>4500</x:v>
      </x:c>
      <x:c r="G89" s="23" t="n">
        <x:v>0</x:v>
      </x:c>
      <x:c r="H89" t="str">
        <x:v>COMPLETED</x:v>
      </x:c>
      <x:c r="I89" t="n">
        <x:f>IF(COUNTIF($A$2:A89,A89)&gt;1,1,0)</x:f>
        <x:v>0</x:v>
      </x:c>
      <x:c r="J89" t="n">
        <x:f>IF(OR(EXACT(H89,"COMPLETED"),EXACT(H89,"CANCELLED")),0,1)</x:f>
        <x:v>0</x:v>
      </x:c>
    </x:row>
    <x:row r="90">
      <x:c r="A90" t="str">
        <x:v>O00089</x:v>
      </x:c>
      <x:c r="B90" t="str">
        <x:v>2026-07-13 11:02:41</x:v>
      </x:c>
      <x:c r="C90" t="str">
        <x:v>S001</x:v>
      </x:c>
      <x:c r="D90" t="str">
        <x:v>P003</x:v>
      </x:c>
      <x:c r="E90" s="23" t="n">
        <x:v>1</x:v>
      </x:c>
      <x:c r="F90" s="23" t="n">
        <x:v>5500</x:v>
      </x:c>
      <x:c r="G90" s="23" t="n">
        <x:v>0</x:v>
      </x:c>
      <x:c r="H90" t="str">
        <x:v>COMPLETED</x:v>
      </x:c>
      <x:c r="I90" t="n">
        <x:f>IF(COUNTIF($A$2:A90,A90)&gt;1,1,0)</x:f>
        <x:v>0</x:v>
      </x:c>
      <x:c r="J90" t="n">
        <x:f>IF(OR(EXACT(H90,"COMPLETED"),EXACT(H90,"CANCELLED")),0,1)</x:f>
        <x:v>0</x:v>
      </x:c>
    </x:row>
    <x:row r="91">
      <x:c r="A91" t="str">
        <x:v>O00090</x:v>
      </x:c>
      <x:c r="B91" t="str">
        <x:v>2026-07-04 14:18:15</x:v>
      </x:c>
      <x:c r="C91" t="str">
        <x:v>S002</x:v>
      </x:c>
      <x:c r="D91" t="str">
        <x:v>P008</x:v>
      </x:c>
      <x:c r="E91" s="23" t="n">
        <x:v>1</x:v>
      </x:c>
      <x:c r="F91" s="23" t="n">
        <x:v>4200</x:v>
      </x:c>
      <x:c r="G91" s="23" t="n">
        <x:v>20</x:v>
      </x:c>
      <x:c r="H91" t="str">
        <x:v>COMPLETED</x:v>
      </x:c>
      <x:c r="I91" t="n">
        <x:f>IF(COUNTIF($A$2:A91,A91)&gt;1,1,0)</x:f>
        <x:v>0</x:v>
      </x:c>
      <x:c r="J91" t="n">
        <x:f>IF(OR(EXACT(H91,"COMPLETED"),EXACT(H91,"CANCELLED")),0,1)</x:f>
        <x:v>0</x:v>
      </x:c>
    </x:row>
    <x:row r="92">
      <x:c r="A92" t="str">
        <x:v>O00091</x:v>
      </x:c>
      <x:c r="B92" t="str">
        <x:v>2026-07-14 19:16:58</x:v>
      </x:c>
      <x:c r="C92" t="str">
        <x:v>S002</x:v>
      </x:c>
      <x:c r="D92" t="str">
        <x:v>P006</x:v>
      </x:c>
      <x:c r="E92" s="23" t="n">
        <x:v>1</x:v>
      </x:c>
      <x:c r="F92" s="23" t="n">
        <x:v>7500</x:v>
      </x:c>
      <x:c r="G92" s="23" t="n">
        <x:v>10</x:v>
      </x:c>
      <x:c r="H92" t="str">
        <x:v>COMPLETED</x:v>
      </x:c>
      <x:c r="I92" t="n">
        <x:f>IF(COUNTIF($A$2:A92,A92)&gt;1,1,0)</x:f>
        <x:v>0</x:v>
      </x:c>
      <x:c r="J92" t="n">
        <x:f>IF(OR(EXACT(H92,"COMPLETED"),EXACT(H92,"CANCELLED")),0,1)</x:f>
        <x:v>0</x:v>
      </x:c>
    </x:row>
    <x:row r="93">
      <x:c r="A93" t="str">
        <x:v>O00092</x:v>
      </x:c>
      <x:c r="B93" t="str">
        <x:v>2026-07-03 21:08:21</x:v>
      </x:c>
      <x:c r="C93" t="str">
        <x:v>S001</x:v>
      </x:c>
      <x:c r="D93" t="str">
        <x:v>P001</x:v>
      </x:c>
      <x:c r="E93" s="23" t="n">
        <x:v>2</x:v>
      </x:c>
      <x:c r="F93" s="23" t="n">
        <x:v>4500</x:v>
      </x:c>
      <x:c r="G93" s="23" t="n">
        <x:v>0</x:v>
      </x:c>
      <x:c r="H93" t="str">
        <x:v>COMPLETED</x:v>
      </x:c>
      <x:c r="I93" t="n">
        <x:f>IF(COUNTIF($A$2:A93,A93)&gt;1,1,0)</x:f>
        <x:v>0</x:v>
      </x:c>
      <x:c r="J93" t="n">
        <x:f>IF(OR(EXACT(H93,"COMPLETED"),EXACT(H93,"CANCELLED")),0,1)</x:f>
        <x:v>0</x:v>
      </x:c>
    </x:row>
    <x:row r="94">
      <x:c r="A94" t="str">
        <x:v>O00093</x:v>
      </x:c>
      <x:c r="B94" t="str">
        <x:v>2026-07-04 07:51:51</x:v>
      </x:c>
      <x:c r="C94" t="str">
        <x:v>S001</x:v>
      </x:c>
      <x:c r="D94" t="str">
        <x:v>P004</x:v>
      </x:c>
      <x:c r="E94" s="23" t="n">
        <x:v>1</x:v>
      </x:c>
      <x:c r="F94" s="23" t="n">
        <x:v>4800</x:v>
      </x:c>
      <x:c r="G94" s="23" t="n">
        <x:v>0</x:v>
      </x:c>
      <x:c r="H94" t="str">
        <x:v>completed</x:v>
      </x:c>
      <x:c r="I94" t="n">
        <x:f>IF(COUNTIF($A$2:A94,A94)&gt;1,1,0)</x:f>
        <x:v>0</x:v>
      </x:c>
      <x:c r="J94" t="n">
        <x:f>IF(OR(EXACT(H94,"COMPLETED"),EXACT(H94,"CANCELLED")),0,1)</x:f>
        <x:v>1</x:v>
      </x:c>
    </x:row>
    <x:row r="95">
      <x:c r="A95" t="str">
        <x:v>O00094</x:v>
      </x:c>
      <x:c r="B95" t="str">
        <x:v>2026-07-01 17:28:43</x:v>
      </x:c>
      <x:c r="C95" t="str">
        <x:v>S002</x:v>
      </x:c>
      <x:c r="D95" t="str">
        <x:v>P006</x:v>
      </x:c>
      <x:c r="E95" s="23" t="n">
        <x:v>3</x:v>
      </x:c>
      <x:c r="F95" s="23" t="n">
        <x:v>7500</x:v>
      </x:c>
      <x:c r="G95" s="23" t="n">
        <x:v>0</x:v>
      </x:c>
      <x:c r="H95" t="str">
        <x:v>COMPLETED</x:v>
      </x:c>
      <x:c r="I95" t="n">
        <x:f>IF(COUNTIF($A$2:A95,A95)&gt;1,1,0)</x:f>
        <x:v>0</x:v>
      </x:c>
      <x:c r="J95" t="n">
        <x:f>IF(OR(EXACT(H95,"COMPLETED"),EXACT(H95,"CANCELLED")),0,1)</x:f>
        <x:v>0</x:v>
      </x:c>
    </x:row>
    <x:row r="96">
      <x:c r="A96" t="str">
        <x:v>O00095</x:v>
      </x:c>
      <x:c r="B96" t="str">
        <x:v>2026-07-05 09:24:31</x:v>
      </x:c>
      <x:c r="C96" t="str">
        <x:v>S001</x:v>
      </x:c>
      <x:c r="D96" t="str">
        <x:v>P001</x:v>
      </x:c>
      <x:c r="E96" s="23" t="n">
        <x:v>2</x:v>
      </x:c>
      <x:c r="F96" s="23" t="n">
        <x:v>4500</x:v>
      </x:c>
      <x:c r="G96" s="23" t="n">
        <x:v>0</x:v>
      </x:c>
      <x:c r="H96" t="str">
        <x:v>COMPLETED</x:v>
      </x:c>
      <x:c r="I96" t="n">
        <x:f>IF(COUNTIF($A$2:A96,A96)&gt;1,1,0)</x:f>
        <x:v>0</x:v>
      </x:c>
      <x:c r="J96" t="n">
        <x:f>IF(OR(EXACT(H96,"COMPLETED"),EXACT(H96,"CANCELLED")),0,1)</x:f>
        <x:v>0</x:v>
      </x:c>
    </x:row>
    <x:row r="97">
      <x:c r="A97" t="str">
        <x:v>O00096</x:v>
      </x:c>
      <x:c r="B97" t="str">
        <x:v>2026-07-04 08:08:45</x:v>
      </x:c>
      <x:c r="C97" t="str">
        <x:v>S002</x:v>
      </x:c>
      <x:c r="D97" t="str">
        <x:v>P002</x:v>
      </x:c>
      <x:c r="E97" s="23" t="n">
        <x:v>2</x:v>
      </x:c>
      <x:c r="F97" s="23" t="n">
        <x:v>5000</x:v>
      </x:c>
      <x:c r="G97" s="23" t="n">
        <x:v>0</x:v>
      </x:c>
      <x:c r="H97" t="str">
        <x:v>COMPLETED</x:v>
      </x:c>
      <x:c r="I97" t="n">
        <x:f>IF(COUNTIF($A$2:A97,A97)&gt;1,1,0)</x:f>
        <x:v>0</x:v>
      </x:c>
      <x:c r="J97" t="n">
        <x:f>IF(OR(EXACT(H97,"COMPLETED"),EXACT(H97,"CANCELLED")),0,1)</x:f>
        <x:v>0</x:v>
      </x:c>
    </x:row>
    <x:row r="98">
      <x:c r="A98" t="str">
        <x:v>O00097</x:v>
      </x:c>
      <x:c r="B98" t="str">
        <x:v>2026-07-09 08:44:28</x:v>
      </x:c>
      <x:c r="C98" t="str">
        <x:v>S003</x:v>
      </x:c>
      <x:c r="D98" t="str">
        <x:v>P005</x:v>
      </x:c>
      <x:c r="E98" s="23" t="n">
        <x:v>1</x:v>
      </x:c>
      <x:c r="F98" s="23" t="n">
        <x:v>5500</x:v>
      </x:c>
      <x:c r="G98" s="23" t="n">
        <x:v>0</x:v>
      </x:c>
      <x:c r="H98" t="str">
        <x:v>COMPLETED</x:v>
      </x:c>
      <x:c r="I98" t="n">
        <x:f>IF(COUNTIF($A$2:A98,A98)&gt;1,1,0)</x:f>
        <x:v>0</x:v>
      </x:c>
      <x:c r="J98" t="n">
        <x:f>IF(OR(EXACT(H98,"COMPLETED"),EXACT(H98,"CANCELLED")),0,1)</x:f>
        <x:v>0</x:v>
      </x:c>
    </x:row>
    <x:row r="99">
      <x:c r="A99" t="str">
        <x:v>O00098</x:v>
      </x:c>
      <x:c r="B99" t="str">
        <x:v>2026-07-09 14:30:17</x:v>
      </x:c>
      <x:c r="C99" t="str">
        <x:v>S002</x:v>
      </x:c>
      <x:c r="D99" t="str">
        <x:v>P004</x:v>
      </x:c>
      <x:c r="E99" s="23" t="n">
        <x:v>1</x:v>
      </x:c>
      <x:c r="F99" s="23" t="n">
        <x:v>4800</x:v>
      </x:c>
      <x:c r="G99" s="23" t="n">
        <x:v>0</x:v>
      </x:c>
      <x:c r="H99" t="str">
        <x:v>CANCELLED</x:v>
      </x:c>
      <x:c r="I99" t="n">
        <x:f>IF(COUNTIF($A$2:A99,A99)&gt;1,1,0)</x:f>
        <x:v>0</x:v>
      </x:c>
      <x:c r="J99" t="n">
        <x:f>IF(OR(EXACT(H99,"COMPLETED"),EXACT(H99,"CANCELLED")),0,1)</x:f>
        <x:v>0</x:v>
      </x:c>
    </x:row>
    <x:row r="100">
      <x:c r="A100" t="str">
        <x:v>O00099</x:v>
      </x:c>
      <x:c r="B100" t="str">
        <x:v>2026-07-01 17:15:52</x:v>
      </x:c>
      <x:c r="C100" t="str">
        <x:v>S003</x:v>
      </x:c>
      <x:c r="D100" t="str">
        <x:v>P003</x:v>
      </x:c>
      <x:c r="E100" s="23" t="n">
        <x:v>1</x:v>
      </x:c>
      <x:c r="F100" s="23" t="n">
        <x:v>5500</x:v>
      </x:c>
      <x:c r="G100" s="23" t="n">
        <x:v>0</x:v>
      </x:c>
      <x:c r="H100" t="str">
        <x:v>COMPLETED</x:v>
      </x:c>
      <x:c r="I100" t="n">
        <x:f>IF(COUNTIF($A$2:A100,A100)&gt;1,1,0)</x:f>
        <x:v>0</x:v>
      </x:c>
      <x:c r="J100" t="n">
        <x:f>IF(OR(EXACT(H100,"COMPLETED"),EXACT(H100,"CANCELLED")),0,1)</x:f>
        <x:v>0</x:v>
      </x:c>
    </x:row>
    <x:row r="101">
      <x:c r="A101" t="str">
        <x:v>O00100</x:v>
      </x:c>
      <x:c r="B101" t="str">
        <x:v>2026-07-09 16:35:35</x:v>
      </x:c>
      <x:c r="C101" t="str">
        <x:v>S001</x:v>
      </x:c>
      <x:c r="D101" t="str">
        <x:v>P005</x:v>
      </x:c>
      <x:c r="E101" s="23" t="n">
        <x:v>1</x:v>
      </x:c>
      <x:c r="F101" s="23" t="n">
        <x:v>5500</x:v>
      </x:c>
      <x:c r="G101" s="23" t="n">
        <x:v>0</x:v>
      </x:c>
      <x:c r="H101" t="str">
        <x:v>COMPLETED</x:v>
      </x:c>
      <x:c r="I101" t="n">
        <x:f>IF(COUNTIF($A$2:A101,A101)&gt;1,1,0)</x:f>
        <x:v>0</x:v>
      </x:c>
      <x:c r="J101" t="n">
        <x:f>IF(OR(EXACT(H101,"COMPLETED"),EXACT(H101,"CANCELLED")),0,1)</x:f>
        <x:v>0</x:v>
      </x:c>
    </x:row>
    <x:row r="102">
      <x:c r="A102" t="str">
        <x:v>O00101</x:v>
      </x:c>
      <x:c r="B102" t="str">
        <x:v>2026-07-07 12:43:38</x:v>
      </x:c>
      <x:c r="C102" t="str">
        <x:v>S003</x:v>
      </x:c>
      <x:c r="D102" t="str">
        <x:v>P001</x:v>
      </x:c>
      <x:c r="E102" s="23" t="n">
        <x:v>2</x:v>
      </x:c>
      <x:c r="F102" s="23" t="n">
        <x:v>4500</x:v>
      </x:c>
      <x:c r="G102" s="23" t="n">
        <x:v>0</x:v>
      </x:c>
      <x:c r="H102" t="str">
        <x:v>COMPLETED</x:v>
      </x:c>
      <x:c r="I102" t="n">
        <x:f>IF(COUNTIF($A$2:A102,A102)&gt;1,1,0)</x:f>
        <x:v>0</x:v>
      </x:c>
      <x:c r="J102" t="n">
        <x:f>IF(OR(EXACT(H102,"COMPLETED"),EXACT(H102,"CANCELLED")),0,1)</x:f>
        <x:v>0</x:v>
      </x:c>
    </x:row>
    <x:row r="103">
      <x:c r="A103" t="str">
        <x:v>O00102</x:v>
      </x:c>
      <x:c r="B103" t="str">
        <x:v>2026-07-12 11:53:42</x:v>
      </x:c>
      <x:c r="C103" t="str">
        <x:v>S001</x:v>
      </x:c>
      <x:c r="D103" t="str">
        <x:v>P002</x:v>
      </x:c>
      <x:c r="E103" s="23" t="n">
        <x:v>1</x:v>
      </x:c>
      <x:c r="F103" s="23" t="n">
        <x:v>5000</x:v>
      </x:c>
      <x:c r="G103" s="23" t="n">
        <x:v>0</x:v>
      </x:c>
      <x:c r="H103" t="str">
        <x:v>COMPLETED</x:v>
      </x:c>
      <x:c r="I103" t="n">
        <x:f>IF(COUNTIF($A$2:A103,A103)&gt;1,1,0)</x:f>
        <x:v>0</x:v>
      </x:c>
      <x:c r="J103" t="n">
        <x:f>IF(OR(EXACT(H103,"COMPLETED"),EXACT(H103,"CANCELLED")),0,1)</x:f>
        <x:v>0</x:v>
      </x:c>
    </x:row>
    <x:row r="104">
      <x:c r="A104" t="str">
        <x:v>O00103</x:v>
      </x:c>
      <x:c r="B104" t="str">
        <x:v>2026-07-11 13:42:05</x:v>
      </x:c>
      <x:c r="C104" t="str">
        <x:v>S003</x:v>
      </x:c>
      <x:c r="D104" t="str">
        <x:v>P001</x:v>
      </x:c>
      <x:c r="E104" s="23" t="n">
        <x:v>1</x:v>
      </x:c>
      <x:c r="F104" s="23" t="n">
        <x:v>4500</x:v>
      </x:c>
      <x:c r="G104" s="23" t="n">
        <x:v>0</x:v>
      </x:c>
      <x:c r="H104" t="str">
        <x:v>COMPLETED</x:v>
      </x:c>
      <x:c r="I104" t="n">
        <x:f>IF(COUNTIF($A$2:A104,A104)&gt;1,1,0)</x:f>
        <x:v>0</x:v>
      </x:c>
      <x:c r="J104" t="n">
        <x:f>IF(OR(EXACT(H104,"COMPLETED"),EXACT(H104,"CANCELLED")),0,1)</x:f>
        <x:v>0</x:v>
      </x:c>
    </x:row>
    <x:row r="105">
      <x:c r="A105" t="str">
        <x:v>O00104</x:v>
      </x:c>
      <x:c r="B105" t="str">
        <x:v>2026-07-08 07:16:28</x:v>
      </x:c>
      <x:c r="C105" t="str">
        <x:v>S003</x:v>
      </x:c>
      <x:c r="D105" t="str">
        <x:v>P007</x:v>
      </x:c>
      <x:c r="E105" s="23" t="n">
        <x:v>3</x:v>
      </x:c>
      <x:c r="F105" s="23" t="n">
        <x:v>3000</x:v>
      </x:c>
      <x:c r="G105" s="23" t="n">
        <x:v>20</x:v>
      </x:c>
      <x:c r="H105" t="str">
        <x:v>CANCELLED</x:v>
      </x:c>
      <x:c r="I105" t="n">
        <x:f>IF(COUNTIF($A$2:A105,A105)&gt;1,1,0)</x:f>
        <x:v>0</x:v>
      </x:c>
      <x:c r="J105" t="n">
        <x:f>IF(OR(EXACT(H105,"COMPLETED"),EXACT(H105,"CANCELLED")),0,1)</x:f>
        <x:v>0</x:v>
      </x:c>
    </x:row>
    <x:row r="106">
      <x:c r="A106" t="str">
        <x:v>O00105</x:v>
      </x:c>
      <x:c r="B106" t="str">
        <x:v>2026-07-05 07:16:31</x:v>
      </x:c>
      <x:c r="C106" t="str">
        <x:v>S002</x:v>
      </x:c>
      <x:c r="D106" t="str">
        <x:v>P005</x:v>
      </x:c>
      <x:c r="E106" s="23" t="n">
        <x:v>2</x:v>
      </x:c>
      <x:c r="F106" s="23" t="n">
        <x:v>5500</x:v>
      </x:c>
      <x:c r="G106" s="23" t="n">
        <x:v>30</x:v>
      </x:c>
      <x:c r="H106" t="str">
        <x:v>COMPLETED</x:v>
      </x:c>
      <x:c r="I106" t="n">
        <x:f>IF(COUNTIF($A$2:A106,A106)&gt;1,1,0)</x:f>
        <x:v>0</x:v>
      </x:c>
      <x:c r="J106" t="n">
        <x:f>IF(OR(EXACT(H106,"COMPLETED"),EXACT(H106,"CANCELLED")),0,1)</x:f>
        <x:v>0</x:v>
      </x:c>
    </x:row>
    <x:row r="107">
      <x:c r="A107" t="str">
        <x:v>O00106</x:v>
      </x:c>
      <x:c r="B107" t="str">
        <x:v>2026-07-10 15:59:35</x:v>
      </x:c>
      <x:c r="C107" t="str">
        <x:v>S002</x:v>
      </x:c>
      <x:c r="D107" t="str">
        <x:v>P008</x:v>
      </x:c>
      <x:c r="E107" s="23" t="n">
        <x:v>2</x:v>
      </x:c>
      <x:c r="F107" s="23" t="n">
        <x:v>4200</x:v>
      </x:c>
      <x:c r="G107" s="23" t="n">
        <x:v>0</x:v>
      </x:c>
      <x:c r="H107" t="str">
        <x:v>CANCELLED</x:v>
      </x:c>
      <x:c r="I107" t="n">
        <x:f>IF(COUNTIF($A$2:A107,A107)&gt;1,1,0)</x:f>
        <x:v>0</x:v>
      </x:c>
      <x:c r="J107" t="n">
        <x:f>IF(OR(EXACT(H107,"COMPLETED"),EXACT(H107,"CANCELLED")),0,1)</x:f>
        <x:v>0</x:v>
      </x:c>
    </x:row>
    <x:row r="108">
      <x:c r="A108" t="str">
        <x:v>O00107</x:v>
      </x:c>
      <x:c r="B108" t="str">
        <x:v>2026-07-06 19:12:24</x:v>
      </x:c>
      <x:c r="C108" t="str">
        <x:v>S002</x:v>
      </x:c>
      <x:c r="D108" t="str">
        <x:v>P004</x:v>
      </x:c>
      <x:c r="E108" s="23" t="n">
        <x:v>2</x:v>
      </x:c>
      <x:c r="F108" s="23" t="n">
        <x:v>4800</x:v>
      </x:c>
      <x:c r="G108" s="23" t="n">
        <x:v>0</x:v>
      </x:c>
      <x:c r="H108" t="str">
        <x:v>COMPLETED</x:v>
      </x:c>
      <x:c r="I108" t="n">
        <x:f>IF(COUNTIF($A$2:A108,A108)&gt;1,1,0)</x:f>
        <x:v>0</x:v>
      </x:c>
      <x:c r="J108" t="n">
        <x:f>IF(OR(EXACT(H108,"COMPLETED"),EXACT(H108,"CANCELLED")),0,1)</x:f>
        <x:v>0</x:v>
      </x:c>
    </x:row>
    <x:row r="109">
      <x:c r="A109" t="str">
        <x:v>O00108</x:v>
      </x:c>
      <x:c r="B109" t="str">
        <x:v>2026-07-09 21:55:38</x:v>
      </x:c>
      <x:c r="C109" t="str">
        <x:v>S001</x:v>
      </x:c>
      <x:c r="D109" t="str">
        <x:v>P001</x:v>
      </x:c>
      <x:c r="E109" s="23" t="n">
        <x:v>1</x:v>
      </x:c>
      <x:c r="F109" s="23" t="n">
        <x:v>4500</x:v>
      </x:c>
      <x:c r="G109" s="23" t="n">
        <x:v>0</x:v>
      </x:c>
      <x:c r="H109" t="str">
        <x:v>COMPLETED</x:v>
      </x:c>
      <x:c r="I109" t="n">
        <x:f>IF(COUNTIF($A$2:A109,A109)&gt;1,1,0)</x:f>
        <x:v>0</x:v>
      </x:c>
      <x:c r="J109" t="n">
        <x:f>IF(OR(EXACT(H109,"COMPLETED"),EXACT(H109,"CANCELLED")),0,1)</x:f>
        <x:v>0</x:v>
      </x:c>
    </x:row>
    <x:row r="110">
      <x:c r="A110" t="str">
        <x:v>O00109</x:v>
      </x:c>
      <x:c r="B110" t="str">
        <x:v>2026-07-13 15:02:41</x:v>
      </x:c>
      <x:c r="C110" t="str">
        <x:v>S001</x:v>
      </x:c>
      <x:c r="D110" t="str">
        <x:v>P001</x:v>
      </x:c>
      <x:c r="E110" s="23" t="n">
        <x:v>1</x:v>
      </x:c>
      <x:c r="F110" s="23" t="n">
        <x:v>4500</x:v>
      </x:c>
      <x:c r="G110" s="23" t="n">
        <x:v>0</x:v>
      </x:c>
      <x:c r="H110" t="str">
        <x:v>COMPLETED</x:v>
      </x:c>
      <x:c r="I110" t="n">
        <x:f>IF(COUNTIF($A$2:A110,A110)&gt;1,1,0)</x:f>
        <x:v>0</x:v>
      </x:c>
      <x:c r="J110" t="n">
        <x:f>IF(OR(EXACT(H110,"COMPLETED"),EXACT(H110,"CANCELLED")),0,1)</x:f>
        <x:v>0</x:v>
      </x:c>
    </x:row>
    <x:row r="111">
      <x:c r="A111" t="str">
        <x:v>O00110</x:v>
      </x:c>
      <x:c r="B111" t="str">
        <x:v>2026-07-02 07:46:31</x:v>
      </x:c>
      <x:c r="C111" t="str">
        <x:v>S001</x:v>
      </x:c>
      <x:c r="D111" t="str">
        <x:v>P002</x:v>
      </x:c>
      <x:c r="E111" s="23" t="n">
        <x:v>1</x:v>
      </x:c>
      <x:c r="F111" s="23" t="n">
        <x:v>5000</x:v>
      </x:c>
      <x:c r="G111" s="23" t="n">
        <x:v>0</x:v>
      </x:c>
      <x:c r="H111" t="str">
        <x:v>COMPLETED</x:v>
      </x:c>
      <x:c r="I111" t="n">
        <x:f>IF(COUNTIF($A$2:A111,A111)&gt;1,1,0)</x:f>
        <x:v>0</x:v>
      </x:c>
      <x:c r="J111" t="n">
        <x:f>IF(OR(EXACT(H111,"COMPLETED"),EXACT(H111,"CANCELLED")),0,1)</x:f>
        <x:v>0</x:v>
      </x:c>
    </x:row>
    <x:row r="112">
      <x:c r="A112" t="str">
        <x:v>O00111</x:v>
      </x:c>
      <x:c r="B112" t="str">
        <x:v>2026-07-05 11:00:08</x:v>
      </x:c>
      <x:c r="C112" t="str">
        <x:v>S001</x:v>
      </x:c>
      <x:c r="D112" t="str">
        <x:v>P001</x:v>
      </x:c>
      <x:c r="E112" s="23" t="n">
        <x:v>1</x:v>
      </x:c>
      <x:c r="F112" s="23" t="n">
        <x:v>4500</x:v>
      </x:c>
      <x:c r="G112" s="23" t="n">
        <x:v>0</x:v>
      </x:c>
      <x:c r="H112" t="str">
        <x:v>COMPLETED</x:v>
      </x:c>
      <x:c r="I112" t="n">
        <x:f>IF(COUNTIF($A$2:A112,A112)&gt;1,1,0)</x:f>
        <x:v>0</x:v>
      </x:c>
      <x:c r="J112" t="n">
        <x:f>IF(OR(EXACT(H112,"COMPLETED"),EXACT(H112,"CANCELLED")),0,1)</x:f>
        <x:v>0</x:v>
      </x:c>
    </x:row>
    <x:row r="113">
      <x:c r="A113" t="str">
        <x:v>O00112</x:v>
      </x:c>
      <x:c r="B113" t="str">
        <x:v>2026-07-11 12:34:24</x:v>
      </x:c>
      <x:c r="C113" t="str">
        <x:v>S003</x:v>
      </x:c>
      <x:c r="D113" t="str">
        <x:v>P001</x:v>
      </x:c>
      <x:c r="E113" s="23" t="n">
        <x:v>2</x:v>
      </x:c>
      <x:c r="F113" s="23" t="n">
        <x:v>4500</x:v>
      </x:c>
      <x:c r="G113" s="23" t="n">
        <x:v>0</x:v>
      </x:c>
      <x:c r="H113" t="str">
        <x:v>COMPLETED</x:v>
      </x:c>
      <x:c r="I113" t="n">
        <x:f>IF(COUNTIF($A$2:A113,A113)&gt;1,1,0)</x:f>
        <x:v>0</x:v>
      </x:c>
      <x:c r="J113" t="n">
        <x:f>IF(OR(EXACT(H113,"COMPLETED"),EXACT(H113,"CANCELLED")),0,1)</x:f>
        <x:v>0</x:v>
      </x:c>
    </x:row>
    <x:row r="114">
      <x:c r="A114" t="str">
        <x:v>O00113</x:v>
      </x:c>
      <x:c r="B114" t="str">
        <x:v>2026-07-12 14:01:42</x:v>
      </x:c>
      <x:c r="C114" t="str">
        <x:v>S002</x:v>
      </x:c>
      <x:c r="D114" t="str">
        <x:v>P005</x:v>
      </x:c>
      <x:c r="E114" s="23" t="n">
        <x:v>1</x:v>
      </x:c>
      <x:c r="F114" s="23" t="n">
        <x:v>5500</x:v>
      </x:c>
      <x:c r="G114" s="23" t="n">
        <x:v>0</x:v>
      </x:c>
      <x:c r="H114" t="str">
        <x:v>COMPLETED</x:v>
      </x:c>
      <x:c r="I114" t="n">
        <x:f>IF(COUNTIF($A$2:A114,A114)&gt;1,1,0)</x:f>
        <x:v>0</x:v>
      </x:c>
      <x:c r="J114" t="n">
        <x:f>IF(OR(EXACT(H114,"COMPLETED"),EXACT(H114,"CANCELLED")),0,1)</x:f>
        <x:v>0</x:v>
      </x:c>
    </x:row>
    <x:row r="115">
      <x:c r="A115" t="str">
        <x:v>O00114</x:v>
      </x:c>
      <x:c r="B115" t="str">
        <x:v>2026-07-13 14:21:26</x:v>
      </x:c>
      <x:c r="C115" t="str">
        <x:v>S001</x:v>
      </x:c>
      <x:c r="D115" t="str">
        <x:v>P001</x:v>
      </x:c>
      <x:c r="E115" s="23" t="n">
        <x:v>2</x:v>
      </x:c>
      <x:c r="F115" s="23" t="n">
        <x:v>4500</x:v>
      </x:c>
      <x:c r="G115" s="23" t="n">
        <x:v>0</x:v>
      </x:c>
      <x:c r="H115" t="str">
        <x:v>COMPLETED</x:v>
      </x:c>
      <x:c r="I115" t="n">
        <x:f>IF(COUNTIF($A$2:A115,A115)&gt;1,1,0)</x:f>
        <x:v>0</x:v>
      </x:c>
      <x:c r="J115" t="n">
        <x:f>IF(OR(EXACT(H115,"COMPLETED"),EXACT(H115,"CANCELLED")),0,1)</x:f>
        <x:v>0</x:v>
      </x:c>
    </x:row>
    <x:row r="116">
      <x:c r="A116" t="str">
        <x:v>O00115</x:v>
      </x:c>
      <x:c r="B116" t="str">
        <x:v>2026-07-10 18:55:16</x:v>
      </x:c>
      <x:c r="C116" t="str">
        <x:v>S002</x:v>
      </x:c>
      <x:c r="D116" t="str">
        <x:v>P005</x:v>
      </x:c>
      <x:c r="E116" s="23" t="n">
        <x:v>1</x:v>
      </x:c>
      <x:c r="F116" s="23" t="n">
        <x:v>5500</x:v>
      </x:c>
      <x:c r="G116" s="23" t="n">
        <x:v>0</x:v>
      </x:c>
      <x:c r="H116" t="str">
        <x:v>COMPLETED</x:v>
      </x:c>
      <x:c r="I116" t="n">
        <x:f>IF(COUNTIF($A$2:A116,A116)&gt;1,1,0)</x:f>
        <x:v>0</x:v>
      </x:c>
      <x:c r="J116" t="n">
        <x:f>IF(OR(EXACT(H116,"COMPLETED"),EXACT(H116,"CANCELLED")),0,1)</x:f>
        <x:v>0</x:v>
      </x:c>
    </x:row>
    <x:row r="117">
      <x:c r="A117" t="str">
        <x:v>O00116</x:v>
      </x:c>
      <x:c r="B117" t="str">
        <x:v>2026-07-14 08:59:59</x:v>
      </x:c>
      <x:c r="C117" t="str">
        <x:v>S002</x:v>
      </x:c>
      <x:c r="D117" t="str">
        <x:v>P006</x:v>
      </x:c>
      <x:c r="E117" s="23" t="n">
        <x:v>2</x:v>
      </x:c>
      <x:c r="F117" s="23" t="n">
        <x:v>7500</x:v>
      </x:c>
      <x:c r="G117" s="23" t="n">
        <x:v>0</x:v>
      </x:c>
      <x:c r="H117" t="str">
        <x:v>COMPLETED</x:v>
      </x:c>
      <x:c r="I117" t="n">
        <x:f>IF(COUNTIF($A$2:A117,A117)&gt;1,1,0)</x:f>
        <x:v>0</x:v>
      </x:c>
      <x:c r="J117" t="n">
        <x:f>IF(OR(EXACT(H117,"COMPLETED"),EXACT(H117,"CANCELLED")),0,1)</x:f>
        <x:v>0</x:v>
      </x:c>
    </x:row>
    <x:row r="118">
      <x:c r="A118" t="str">
        <x:v>O00117</x:v>
      </x:c>
      <x:c r="B118" t="str">
        <x:v>2026-07-12 14:24:13</x:v>
      </x:c>
      <x:c r="C118" t="str">
        <x:v>S003</x:v>
      </x:c>
      <x:c r="D118" t="str">
        <x:v>P008</x:v>
      </x:c>
      <x:c r="E118" s="23" t="n">
        <x:v>2</x:v>
      </x:c>
      <x:c r="F118" s="23" t="n">
        <x:v>4200</x:v>
      </x:c>
      <x:c r="G118" s="23" t="n">
        <x:v>0</x:v>
      </x:c>
      <x:c r="H118" t="str">
        <x:v>COMPLETED</x:v>
      </x:c>
      <x:c r="I118" t="n">
        <x:f>IF(COUNTIF($A$2:A118,A118)&gt;1,1,0)</x:f>
        <x:v>0</x:v>
      </x:c>
      <x:c r="J118" t="n">
        <x:f>IF(OR(EXACT(H118,"COMPLETED"),EXACT(H118,"CANCELLED")),0,1)</x:f>
        <x:v>0</x:v>
      </x:c>
    </x:row>
    <x:row r="119">
      <x:c r="A119" t="str">
        <x:v>O00118</x:v>
      </x:c>
      <x:c r="B119" t="str">
        <x:v>2026-07-11 17:43:25</x:v>
      </x:c>
      <x:c r="C119" t="str">
        <x:v>S001</x:v>
      </x:c>
      <x:c r="D119" t="str">
        <x:v>P001</x:v>
      </x:c>
      <x:c r="E119" s="23" t="n">
        <x:v>1</x:v>
      </x:c>
      <x:c r="F119" s="23" t="n">
        <x:v>4500</x:v>
      </x:c>
      <x:c r="G119" s="23" t="n">
        <x:v>0</x:v>
      </x:c>
      <x:c r="H119" t="str">
        <x:v>COMPLETED</x:v>
      </x:c>
      <x:c r="I119" t="n">
        <x:f>IF(COUNTIF($A$2:A119,A119)&gt;1,1,0)</x:f>
        <x:v>0</x:v>
      </x:c>
      <x:c r="J119" t="n">
        <x:f>IF(OR(EXACT(H119,"COMPLETED"),EXACT(H119,"CANCELLED")),0,1)</x:f>
        <x:v>0</x:v>
      </x:c>
    </x:row>
    <x:row r="120">
      <x:c r="A120" t="str">
        <x:v>O00119</x:v>
      </x:c>
      <x:c r="B120" t="str">
        <x:v>2026-07-05 18:53:04</x:v>
      </x:c>
      <x:c r="C120" t="str">
        <x:v>S001</x:v>
      </x:c>
      <x:c r="D120" t="str">
        <x:v>P001</x:v>
      </x:c>
      <x:c r="E120" s="23" t="n">
        <x:v>1</x:v>
      </x:c>
      <x:c r="F120" s="23" t="n">
        <x:v>4500</x:v>
      </x:c>
      <x:c r="G120" s="23" t="n">
        <x:v>0</x:v>
      </x:c>
      <x:c r="H120" t="str">
        <x:v>CANCELLED</x:v>
      </x:c>
      <x:c r="I120" t="n">
        <x:f>IF(COUNTIF($A$2:A120,A120)&gt;1,1,0)</x:f>
        <x:v>0</x:v>
      </x:c>
      <x:c r="J120" t="n">
        <x:f>IF(OR(EXACT(H120,"COMPLETED"),EXACT(H120,"CANCELLED")),0,1)</x:f>
        <x:v>0</x:v>
      </x:c>
    </x:row>
    <x:row r="121">
      <x:c r="A121" t="str">
        <x:v>O00120</x:v>
      </x:c>
      <x:c r="B121" t="str">
        <x:v>2026-07-09 14:55:05</x:v>
      </x:c>
      <x:c r="C121" t="str">
        <x:v>S003</x:v>
      </x:c>
      <x:c r="D121" t="str">
        <x:v>P007</x:v>
      </x:c>
      <x:c r="E121" s="23" t="n">
        <x:v>2</x:v>
      </x:c>
      <x:c r="F121" s="23" t="n">
        <x:v>3000</x:v>
      </x:c>
      <x:c r="G121" s="23" t="n">
        <x:v>0</x:v>
      </x:c>
      <x:c r="H121" t="str">
        <x:v>COMPLETED</x:v>
      </x:c>
      <x:c r="I121" t="n">
        <x:f>IF(COUNTIF($A$2:A121,A121)&gt;1,1,0)</x:f>
        <x:v>0</x:v>
      </x:c>
      <x:c r="J121" t="n">
        <x:f>IF(OR(EXACT(H121,"COMPLETED"),EXACT(H121,"CANCELLED")),0,1)</x:f>
        <x:v>0</x:v>
      </x:c>
    </x:row>
    <x:row r="122">
      <x:c r="A122" t="str">
        <x:v>O00121</x:v>
      </x:c>
      <x:c r="B122" t="str">
        <x:v>2026-07-02 11:28:48</x:v>
      </x:c>
      <x:c r="C122" t="str">
        <x:v>S003</x:v>
      </x:c>
      <x:c r="D122" t="str">
        <x:v>P006</x:v>
      </x:c>
      <x:c r="E122" s="23" t="n">
        <x:v>3</x:v>
      </x:c>
      <x:c r="F122" s="23" t="n">
        <x:v>7500</x:v>
      </x:c>
      <x:c r="G122" s="23" t="n">
        <x:v>0</x:v>
      </x:c>
      <x:c r="H122" t="str">
        <x:v>COMPLETED</x:v>
      </x:c>
      <x:c r="I122" t="n">
        <x:f>IF(COUNTIF($A$2:A122,A122)&gt;1,1,0)</x:f>
        <x:v>0</x:v>
      </x:c>
      <x:c r="J122" t="n">
        <x:f>IF(OR(EXACT(H122,"COMPLETED"),EXACT(H122,"CANCELLED")),0,1)</x:f>
        <x:v>0</x:v>
      </x:c>
    </x:row>
    <x:row r="123">
      <x:c r="A123" t="str">
        <x:v>O00122</x:v>
      </x:c>
      <x:c r="B123" t="str">
        <x:v>2026-07-02 13:19:14</x:v>
      </x:c>
      <x:c r="C123" t="str">
        <x:v>S002</x:v>
      </x:c>
      <x:c r="D123" t="str">
        <x:v>P002</x:v>
      </x:c>
      <x:c r="E123" s="23" t="n">
        <x:v>1</x:v>
      </x:c>
      <x:c r="F123" s="23" t="n">
        <x:v>5000</x:v>
      </x:c>
      <x:c r="G123" s="23"/>
      <x:c r="H123" t="str">
        <x:v>COMPLETED</x:v>
      </x:c>
      <x:c r="I123" t="n">
        <x:f>IF(COUNTIF($A$2:A123,A123)&gt;1,1,0)</x:f>
        <x:v>0</x:v>
      </x:c>
      <x:c r="J123" t="n">
        <x:f>IF(OR(EXACT(H123,"COMPLETED"),EXACT(H123,"CANCELLED")),0,1)</x:f>
        <x:v>0</x:v>
      </x:c>
    </x:row>
    <x:row r="124">
      <x:c r="A124" t="str">
        <x:v>O00123</x:v>
      </x:c>
      <x:c r="B124" t="str">
        <x:v>2026-07-12 13:28:49</x:v>
      </x:c>
      <x:c r="C124" t="str">
        <x:v>S003</x:v>
      </x:c>
      <x:c r="D124" t="str">
        <x:v>P001</x:v>
      </x:c>
      <x:c r="E124" s="23" t="n">
        <x:v>1</x:v>
      </x:c>
      <x:c r="F124" s="23" t="n">
        <x:v>4500</x:v>
      </x:c>
      <x:c r="G124" s="23" t="n">
        <x:v>0</x:v>
      </x:c>
      <x:c r="H124" t="str">
        <x:v>COMPLETED</x:v>
      </x:c>
      <x:c r="I124" t="n">
        <x:f>IF(COUNTIF($A$2:A124,A124)&gt;1,1,0)</x:f>
        <x:v>0</x:v>
      </x:c>
      <x:c r="J124" t="n">
        <x:f>IF(OR(EXACT(H124,"COMPLETED"),EXACT(H124,"CANCELLED")),0,1)</x:f>
        <x:v>0</x:v>
      </x:c>
    </x:row>
    <x:row r="125">
      <x:c r="A125" t="str">
        <x:v>O00124</x:v>
      </x:c>
      <x:c r="B125" t="str">
        <x:v>2026-07-08 10:15:57</x:v>
      </x:c>
      <x:c r="C125" t="str">
        <x:v>S001</x:v>
      </x:c>
      <x:c r="D125" t="str">
        <x:v>P002</x:v>
      </x:c>
      <x:c r="E125" s="23" t="n">
        <x:v>2</x:v>
      </x:c>
      <x:c r="F125" s="23" t="n">
        <x:v>5000</x:v>
      </x:c>
      <x:c r="G125" s="23" t="n">
        <x:v>0</x:v>
      </x:c>
      <x:c r="H125" t="str">
        <x:v>COMPLETED</x:v>
      </x:c>
      <x:c r="I125" t="n">
        <x:f>IF(COUNTIF($A$2:A125,A125)&gt;1,1,0)</x:f>
        <x:v>0</x:v>
      </x:c>
      <x:c r="J125" t="n">
        <x:f>IF(OR(EXACT(H125,"COMPLETED"),EXACT(H125,"CANCELLED")),0,1)</x:f>
        <x:v>0</x:v>
      </x:c>
    </x:row>
    <x:row r="126">
      <x:c r="A126" t="str">
        <x:v>O00125</x:v>
      </x:c>
      <x:c r="B126" t="str">
        <x:v>2026-07-04 09:09:05</x:v>
      </x:c>
      <x:c r="C126" t="str">
        <x:v>S002</x:v>
      </x:c>
      <x:c r="D126" t="str">
        <x:v>P008</x:v>
      </x:c>
      <x:c r="E126" s="23" t="n">
        <x:v>1</x:v>
      </x:c>
      <x:c r="F126" s="23" t="n">
        <x:v>4200</x:v>
      </x:c>
      <x:c r="G126" s="23" t="n">
        <x:v>0</x:v>
      </x:c>
      <x:c r="H126" t="str">
        <x:v>COMPLETED</x:v>
      </x:c>
      <x:c r="I126" t="n">
        <x:f>IF(COUNTIF($A$2:A126,A126)&gt;1,1,0)</x:f>
        <x:v>0</x:v>
      </x:c>
      <x:c r="J126" t="n">
        <x:f>IF(OR(EXACT(H126,"COMPLETED"),EXACT(H126,"CANCELLED")),0,1)</x:f>
        <x:v>0</x:v>
      </x:c>
    </x:row>
    <x:row r="127">
      <x:c r="A127" t="str">
        <x:v>O00126</x:v>
      </x:c>
      <x:c r="B127" t="str">
        <x:v>2026-07-04 11:51:55</x:v>
      </x:c>
      <x:c r="C127" t="str">
        <x:v>S003</x:v>
      </x:c>
      <x:c r="D127" t="str">
        <x:v>P001</x:v>
      </x:c>
      <x:c r="E127" s="23" t="n">
        <x:v>1</x:v>
      </x:c>
      <x:c r="F127" s="23" t="n">
        <x:v>4500</x:v>
      </x:c>
      <x:c r="G127" s="23" t="n">
        <x:v>0</x:v>
      </x:c>
      <x:c r="H127" t="str">
        <x:v>COMPLETED</x:v>
      </x:c>
      <x:c r="I127" t="n">
        <x:f>IF(COUNTIF($A$2:A127,A127)&gt;1,1,0)</x:f>
        <x:v>0</x:v>
      </x:c>
      <x:c r="J127" t="n">
        <x:f>IF(OR(EXACT(H127,"COMPLETED"),EXACT(H127,"CANCELLED")),0,1)</x:f>
        <x:v>0</x:v>
      </x:c>
    </x:row>
    <x:row r="128">
      <x:c r="A128" t="str">
        <x:v>O00127</x:v>
      </x:c>
      <x:c r="B128" t="str">
        <x:v>2026-07-08 11:20:55</x:v>
      </x:c>
      <x:c r="C128" t="str">
        <x:v>S003</x:v>
      </x:c>
      <x:c r="D128" t="str">
        <x:v>P001</x:v>
      </x:c>
      <x:c r="E128" s="23" t="n">
        <x:v>1</x:v>
      </x:c>
      <x:c r="F128" s="23" t="n">
        <x:v>4500</x:v>
      </x:c>
      <x:c r="G128" s="23" t="n">
        <x:v>20</x:v>
      </x:c>
      <x:c r="H128" t="str">
        <x:v>COMPLETED</x:v>
      </x:c>
      <x:c r="I128" t="n">
        <x:f>IF(COUNTIF($A$2:A128,A128)&gt;1,1,0)</x:f>
        <x:v>0</x:v>
      </x:c>
      <x:c r="J128" t="n">
        <x:f>IF(OR(EXACT(H128,"COMPLETED"),EXACT(H128,"CANCELLED")),0,1)</x:f>
        <x:v>0</x:v>
      </x:c>
    </x:row>
    <x:row r="129">
      <x:c r="A129" t="str">
        <x:v>O00128</x:v>
      </x:c>
      <x:c r="B129" t="str">
        <x:v>2026-07-08 08:10:51</x:v>
      </x:c>
      <x:c r="C129" t="str">
        <x:v>S001</x:v>
      </x:c>
      <x:c r="D129" t="str">
        <x:v>P005</x:v>
      </x:c>
      <x:c r="E129" s="23" t="n">
        <x:v>1</x:v>
      </x:c>
      <x:c r="F129" s="23" t="n">
        <x:v>5500</x:v>
      </x:c>
      <x:c r="G129" s="23" t="n">
        <x:v>0</x:v>
      </x:c>
      <x:c r="H129" t="str">
        <x:v>COMPLETED</x:v>
      </x:c>
      <x:c r="I129" t="n">
        <x:f>IF(COUNTIF($A$2:A129,A129)&gt;1,1,0)</x:f>
        <x:v>0</x:v>
      </x:c>
      <x:c r="J129" t="n">
        <x:f>IF(OR(EXACT(H129,"COMPLETED"),EXACT(H129,"CANCELLED")),0,1)</x:f>
        <x:v>0</x:v>
      </x:c>
    </x:row>
    <x:row r="130">
      <x:c r="A130" t="str">
        <x:v>O00129</x:v>
      </x:c>
      <x:c r="B130" t="str">
        <x:v>2026-07-06 10:28:29</x:v>
      </x:c>
      <x:c r="C130" t="str">
        <x:v>S001</x:v>
      </x:c>
      <x:c r="D130" t="str">
        <x:v>P001</x:v>
      </x:c>
      <x:c r="E130" s="23" t="n">
        <x:v>1</x:v>
      </x:c>
      <x:c r="F130" s="23" t="n">
        <x:v>4500</x:v>
      </x:c>
      <x:c r="G130" s="23" t="n">
        <x:v>0</x:v>
      </x:c>
      <x:c r="H130" t="str">
        <x:v>COMPLETED</x:v>
      </x:c>
      <x:c r="I130" t="n">
        <x:f>IF(COUNTIF($A$2:A130,A130)&gt;1,1,0)</x:f>
        <x:v>0</x:v>
      </x:c>
      <x:c r="J130" t="n">
        <x:f>IF(OR(EXACT(H130,"COMPLETED"),EXACT(H130,"CANCELLED")),0,1)</x:f>
        <x:v>0</x:v>
      </x:c>
    </x:row>
    <x:row r="131">
      <x:c r="A131" t="str">
        <x:v>O00130</x:v>
      </x:c>
      <x:c r="B131" t="str">
        <x:v>2026-07-08 09:41:55</x:v>
      </x:c>
      <x:c r="C131" t="str">
        <x:v>S002</x:v>
      </x:c>
      <x:c r="D131" t="str">
        <x:v>P005</x:v>
      </x:c>
      <x:c r="E131" s="23" t="n">
        <x:v>2</x:v>
      </x:c>
      <x:c r="F131" s="23" t="n">
        <x:v>5500</x:v>
      </x:c>
      <x:c r="G131" s="23" t="n">
        <x:v>0</x:v>
      </x:c>
      <x:c r="H131" t="str">
        <x:v>CANCELLED</x:v>
      </x:c>
      <x:c r="I131" t="n">
        <x:f>IF(COUNTIF($A$2:A131,A131)&gt;1,1,0)</x:f>
        <x:v>0</x:v>
      </x:c>
      <x:c r="J131" t="n">
        <x:f>IF(OR(EXACT(H131,"COMPLETED"),EXACT(H131,"CANCELLED")),0,1)</x:f>
        <x:v>0</x:v>
      </x:c>
    </x:row>
    <x:row r="132">
      <x:c r="A132" t="str">
        <x:v>O00131</x:v>
      </x:c>
      <x:c r="B132" t="str">
        <x:v>2026-07-09 10:08:44</x:v>
      </x:c>
      <x:c r="C132" t="str">
        <x:v>S002</x:v>
      </x:c>
      <x:c r="D132" t="str">
        <x:v>P003</x:v>
      </x:c>
      <x:c r="E132" s="23" t="n">
        <x:v>2</x:v>
      </x:c>
      <x:c r="F132" s="23" t="n">
        <x:v>5500</x:v>
      </x:c>
      <x:c r="G132" s="23" t="n">
        <x:v>30</x:v>
      </x:c>
      <x:c r="H132" t="str">
        <x:v>COMPLETED</x:v>
      </x:c>
      <x:c r="I132" t="n">
        <x:f>IF(COUNTIF($A$2:A132,A132)&gt;1,1,0)</x:f>
        <x:v>0</x:v>
      </x:c>
      <x:c r="J132" t="n">
        <x:f>IF(OR(EXACT(H132,"COMPLETED"),EXACT(H132,"CANCELLED")),0,1)</x:f>
        <x:v>0</x:v>
      </x:c>
    </x:row>
    <x:row r="133">
      <x:c r="A133" t="str">
        <x:v>O00132</x:v>
      </x:c>
      <x:c r="B133" t="str">
        <x:v>2026-07-05 12:03:28</x:v>
      </x:c>
      <x:c r="C133" t="str">
        <x:v>S002</x:v>
      </x:c>
      <x:c r="D133" t="str">
        <x:v>P003</x:v>
      </x:c>
      <x:c r="E133" s="23" t="n">
        <x:v>1</x:v>
      </x:c>
      <x:c r="F133" s="23" t="n">
        <x:v>5500</x:v>
      </x:c>
      <x:c r="G133" s="23" t="n">
        <x:v>0</x:v>
      </x:c>
      <x:c r="H133" t="str">
        <x:v>Completed</x:v>
      </x:c>
      <x:c r="I133" t="n">
        <x:f>IF(COUNTIF($A$2:A133,A133)&gt;1,1,0)</x:f>
        <x:v>0</x:v>
      </x:c>
      <x:c r="J133" t="n">
        <x:f>IF(OR(EXACT(H133,"COMPLETED"),EXACT(H133,"CANCELLED")),0,1)</x:f>
        <x:v>1</x:v>
      </x:c>
    </x:row>
    <x:row r="134">
      <x:c r="A134" t="str">
        <x:v>O00133</x:v>
      </x:c>
      <x:c r="B134" t="str">
        <x:v>2026-07-01 11:08:36</x:v>
      </x:c>
      <x:c r="C134" t="str">
        <x:v>S001</x:v>
      </x:c>
      <x:c r="D134" t="str">
        <x:v>P004</x:v>
      </x:c>
      <x:c r="E134" s="23" t="n">
        <x:v>2</x:v>
      </x:c>
      <x:c r="F134" s="23" t="n">
        <x:v>4800</x:v>
      </x:c>
      <x:c r="G134" s="23" t="n">
        <x:v>0</x:v>
      </x:c>
      <x:c r="H134" t="str">
        <x:v>COMPLETED</x:v>
      </x:c>
      <x:c r="I134" t="n">
        <x:f>IF(COUNTIF($A$2:A134,A134)&gt;1,1,0)</x:f>
        <x:v>0</x:v>
      </x:c>
      <x:c r="J134" t="n">
        <x:f>IF(OR(EXACT(H134,"COMPLETED"),EXACT(H134,"CANCELLED")),0,1)</x:f>
        <x:v>0</x:v>
      </x:c>
    </x:row>
    <x:row r="135">
      <x:c r="A135" t="str">
        <x:v>O00134</x:v>
      </x:c>
      <x:c r="B135" t="str">
        <x:v>2026-07-10 20:54:42</x:v>
      </x:c>
      <x:c r="C135" t="str">
        <x:v>S003</x:v>
      </x:c>
      <x:c r="D135" t="str">
        <x:v>P001</x:v>
      </x:c>
      <x:c r="E135" s="23" t="n">
        <x:v>1</x:v>
      </x:c>
      <x:c r="F135" s="23" t="n">
        <x:v>4500</x:v>
      </x:c>
      <x:c r="G135" s="23" t="n">
        <x:v>0</x:v>
      </x:c>
      <x:c r="H135" t="str">
        <x:v>COMPLETED</x:v>
      </x:c>
      <x:c r="I135" t="n">
        <x:f>IF(COUNTIF($A$2:A135,A135)&gt;1,1,0)</x:f>
        <x:v>0</x:v>
      </x:c>
      <x:c r="J135" t="n">
        <x:f>IF(OR(EXACT(H135,"COMPLETED"),EXACT(H135,"CANCELLED")),0,1)</x:f>
        <x:v>0</x:v>
      </x:c>
    </x:row>
    <x:row r="136">
      <x:c r="A136" t="str">
        <x:v>O00135</x:v>
      </x:c>
      <x:c r="B136" t="str">
        <x:v>2026-07-14 18:53:13</x:v>
      </x:c>
      <x:c r="C136" t="str">
        <x:v>S001</x:v>
      </x:c>
      <x:c r="D136" t="str">
        <x:v>P003</x:v>
      </x:c>
      <x:c r="E136" s="23" t="n">
        <x:v>2</x:v>
      </x:c>
      <x:c r="F136" s="23" t="n">
        <x:v>5500</x:v>
      </x:c>
      <x:c r="G136" s="23" t="n">
        <x:v>0</x:v>
      </x:c>
      <x:c r="H136" t="str">
        <x:v>COMPLETED</x:v>
      </x:c>
      <x:c r="I136" t="n">
        <x:f>IF(COUNTIF($A$2:A136,A136)&gt;1,1,0)</x:f>
        <x:v>0</x:v>
      </x:c>
      <x:c r="J136" t="n">
        <x:f>IF(OR(EXACT(H136,"COMPLETED"),EXACT(H136,"CANCELLED")),0,1)</x:f>
        <x:v>0</x:v>
      </x:c>
    </x:row>
    <x:row r="137">
      <x:c r="A137" t="str">
        <x:v>O00136</x:v>
      </x:c>
      <x:c r="B137" t="str">
        <x:v>2026-07-12 14:20:39</x:v>
      </x:c>
      <x:c r="C137" t="str">
        <x:v>S001</x:v>
      </x:c>
      <x:c r="D137" t="str">
        <x:v>P003</x:v>
      </x:c>
      <x:c r="E137" s="23" t="n">
        <x:v>1</x:v>
      </x:c>
      <x:c r="F137" s="23" t="n">
        <x:v>5500</x:v>
      </x:c>
      <x:c r="G137" s="23" t="n">
        <x:v>0</x:v>
      </x:c>
      <x:c r="H137" t="str">
        <x:v>COMPLETED</x:v>
      </x:c>
      <x:c r="I137" t="n">
        <x:f>IF(COUNTIF($A$2:A137,A137)&gt;1,1,0)</x:f>
        <x:v>0</x:v>
      </x:c>
      <x:c r="J137" t="n">
        <x:f>IF(OR(EXACT(H137,"COMPLETED"),EXACT(H137,"CANCELLED")),0,1)</x:f>
        <x:v>0</x:v>
      </x:c>
    </x:row>
    <x:row r="138">
      <x:c r="A138" t="str">
        <x:v>O00137</x:v>
      </x:c>
      <x:c r="B138" t="str">
        <x:v>2026-07-10 16:09:15</x:v>
      </x:c>
      <x:c r="C138" t="str">
        <x:v>S001</x:v>
      </x:c>
      <x:c r="D138" t="str">
        <x:v>P006</x:v>
      </x:c>
      <x:c r="E138" s="23" t="n">
        <x:v>1</x:v>
      </x:c>
      <x:c r="F138" s="23" t="n">
        <x:v>7500</x:v>
      </x:c>
      <x:c r="G138" s="23" t="n">
        <x:v>0</x:v>
      </x:c>
      <x:c r="H138" t="str">
        <x:v>COMPLETED</x:v>
      </x:c>
      <x:c r="I138" t="n">
        <x:f>IF(COUNTIF($A$2:A138,A138)&gt;1,1,0)</x:f>
        <x:v>0</x:v>
      </x:c>
      <x:c r="J138" t="n">
        <x:f>IF(OR(EXACT(H138,"COMPLETED"),EXACT(H138,"CANCELLED")),0,1)</x:f>
        <x:v>0</x:v>
      </x:c>
    </x:row>
    <x:row r="139">
      <x:c r="A139" t="str">
        <x:v>O00138</x:v>
      </x:c>
      <x:c r="B139" t="str">
        <x:v>2026-07-05 14:33:17</x:v>
      </x:c>
      <x:c r="C139" t="str">
        <x:v>S002</x:v>
      </x:c>
      <x:c r="D139" t="str">
        <x:v>P001</x:v>
      </x:c>
      <x:c r="E139" s="23" t="n">
        <x:v>1</x:v>
      </x:c>
      <x:c r="F139" s="23" t="n">
        <x:v>4500</x:v>
      </x:c>
      <x:c r="G139" s="23" t="n">
        <x:v>0</x:v>
      </x:c>
      <x:c r="H139" t="str">
        <x:v>COMPLETED</x:v>
      </x:c>
      <x:c r="I139" t="n">
        <x:f>IF(COUNTIF($A$2:A139,A139)&gt;1,1,0)</x:f>
        <x:v>0</x:v>
      </x:c>
      <x:c r="J139" t="n">
        <x:f>IF(OR(EXACT(H139,"COMPLETED"),EXACT(H139,"CANCELLED")),0,1)</x:f>
        <x:v>0</x:v>
      </x:c>
    </x:row>
    <x:row r="140">
      <x:c r="A140" t="str">
        <x:v>O00139</x:v>
      </x:c>
      <x:c r="B140" t="str">
        <x:v>2026-07-01 18:44:27</x:v>
      </x:c>
      <x:c r="C140" t="str">
        <x:v>S001</x:v>
      </x:c>
      <x:c r="D140" t="str">
        <x:v>P001</x:v>
      </x:c>
      <x:c r="E140" s="23" t="n">
        <x:v>1</x:v>
      </x:c>
      <x:c r="F140" s="23" t="n">
        <x:v>4500</x:v>
      </x:c>
      <x:c r="G140" s="23" t="n">
        <x:v>0</x:v>
      </x:c>
      <x:c r="H140" t="str">
        <x:v>COMPLETED</x:v>
      </x:c>
      <x:c r="I140" t="n">
        <x:f>IF(COUNTIF($A$2:A140,A140)&gt;1,1,0)</x:f>
        <x:v>0</x:v>
      </x:c>
      <x:c r="J140" t="n">
        <x:f>IF(OR(EXACT(H140,"COMPLETED"),EXACT(H140,"CANCELLED")),0,1)</x:f>
        <x:v>0</x:v>
      </x:c>
    </x:row>
    <x:row r="141">
      <x:c r="A141" t="str">
        <x:v>O00140</x:v>
      </x:c>
      <x:c r="B141" t="str">
        <x:v>2026-07-14 19:39:12</x:v>
      </x:c>
      <x:c r="C141" t="str">
        <x:v>S001</x:v>
      </x:c>
      <x:c r="D141" t="str">
        <x:v>P007</x:v>
      </x:c>
      <x:c r="E141" s="23" t="n">
        <x:v>1</x:v>
      </x:c>
      <x:c r="F141" s="23" t="n">
        <x:v>3000</x:v>
      </x:c>
      <x:c r="G141" s="23" t="n">
        <x:v>0</x:v>
      </x:c>
      <x:c r="H141" t="str">
        <x:v>COMPLETED</x:v>
      </x:c>
      <x:c r="I141" t="n">
        <x:f>IF(COUNTIF($A$2:A141,A141)&gt;1,1,0)</x:f>
        <x:v>0</x:v>
      </x:c>
      <x:c r="J141" t="n">
        <x:f>IF(OR(EXACT(H141,"COMPLETED"),EXACT(H141,"CANCELLED")),0,1)</x:f>
        <x:v>0</x:v>
      </x:c>
    </x:row>
    <x:row r="142">
      <x:c r="A142" t="str">
        <x:v>O00141</x:v>
      </x:c>
      <x:c r="B142" t="str">
        <x:v>2026-07-01 20:11:55</x:v>
      </x:c>
      <x:c r="C142" t="str">
        <x:v>S002</x:v>
      </x:c>
      <x:c r="D142" t="str">
        <x:v>P001</x:v>
      </x:c>
      <x:c r="E142" s="23" t="n">
        <x:v>2</x:v>
      </x:c>
      <x:c r="F142" s="23" t="n">
        <x:v>4500</x:v>
      </x:c>
      <x:c r="G142" s="23" t="n">
        <x:v>0</x:v>
      </x:c>
      <x:c r="H142" t="str">
        <x:v>COMPLETED</x:v>
      </x:c>
      <x:c r="I142" t="n">
        <x:f>IF(COUNTIF($A$2:A142,A142)&gt;1,1,0)</x:f>
        <x:v>0</x:v>
      </x:c>
      <x:c r="J142" t="n">
        <x:f>IF(OR(EXACT(H142,"COMPLETED"),EXACT(H142,"CANCELLED")),0,1)</x:f>
        <x:v>0</x:v>
      </x:c>
    </x:row>
    <x:row r="143">
      <x:c r="A143" t="str">
        <x:v>O00142</x:v>
      </x:c>
      <x:c r="B143" t="str">
        <x:v>2026-07-05 16:16:42</x:v>
      </x:c>
      <x:c r="C143" t="str">
        <x:v>S002</x:v>
      </x:c>
      <x:c r="D143" t="str">
        <x:v>P002</x:v>
      </x:c>
      <x:c r="E143" s="23" t="n">
        <x:v>1</x:v>
      </x:c>
      <x:c r="F143" s="23" t="n">
        <x:v>5000</x:v>
      </x:c>
      <x:c r="G143" s="23" t="n">
        <x:v>0</x:v>
      </x:c>
      <x:c r="H143" t="str">
        <x:v>COMPLETED</x:v>
      </x:c>
      <x:c r="I143" t="n">
        <x:f>IF(COUNTIF($A$2:A143,A143)&gt;1,1,0)</x:f>
        <x:v>0</x:v>
      </x:c>
      <x:c r="J143" t="n">
        <x:f>IF(OR(EXACT(H143,"COMPLETED"),EXACT(H143,"CANCELLED")),0,1)</x:f>
        <x:v>0</x:v>
      </x:c>
    </x:row>
    <x:row r="144">
      <x:c r="A144" t="str">
        <x:v>O00143</x:v>
      </x:c>
      <x:c r="B144" t="str">
        <x:v>2026-07-12 07:17:06</x:v>
      </x:c>
      <x:c r="C144" t="str">
        <x:v>S003</x:v>
      </x:c>
      <x:c r="D144" t="str">
        <x:v>P007</x:v>
      </x:c>
      <x:c r="E144" s="23" t="n">
        <x:v>1</x:v>
      </x:c>
      <x:c r="F144" s="23" t="n">
        <x:v>3000</x:v>
      </x:c>
      <x:c r="G144" s="23" t="n">
        <x:v>20</x:v>
      </x:c>
      <x:c r="H144" t="str">
        <x:v>COMPLETED</x:v>
      </x:c>
      <x:c r="I144" t="n">
        <x:f>IF(COUNTIF($A$2:A144,A144)&gt;1,1,0)</x:f>
        <x:v>0</x:v>
      </x:c>
      <x:c r="J144" t="n">
        <x:f>IF(OR(EXACT(H144,"COMPLETED"),EXACT(H144,"CANCELLED")),0,1)</x:f>
        <x:v>0</x:v>
      </x:c>
    </x:row>
    <x:row r="145">
      <x:c r="A145" t="str">
        <x:v>O00144</x:v>
      </x:c>
      <x:c r="B145" t="str">
        <x:v>2026-07-12 10:24:07</x:v>
      </x:c>
      <x:c r="C145" t="str">
        <x:v>S002</x:v>
      </x:c>
      <x:c r="D145" t="str">
        <x:v>P001</x:v>
      </x:c>
      <x:c r="E145" s="23" t="n">
        <x:v>1</x:v>
      </x:c>
      <x:c r="F145" s="23" t="n">
        <x:v>4500</x:v>
      </x:c>
      <x:c r="G145" s="23" t="n">
        <x:v>0</x:v>
      </x:c>
      <x:c r="H145" t="str">
        <x:v>COMPLETED</x:v>
      </x:c>
      <x:c r="I145" t="n">
        <x:f>IF(COUNTIF($A$2:A145,A145)&gt;1,1,0)</x:f>
        <x:v>0</x:v>
      </x:c>
      <x:c r="J145" t="n">
        <x:f>IF(OR(EXACT(H145,"COMPLETED"),EXACT(H145,"CANCELLED")),0,1)</x:f>
        <x:v>0</x:v>
      </x:c>
    </x:row>
    <x:row r="146">
      <x:c r="A146" t="str">
        <x:v>O00145</x:v>
      </x:c>
      <x:c r="B146" t="str">
        <x:v>2026-07-14 19:24:33</x:v>
      </x:c>
      <x:c r="C146" t="str">
        <x:v>S003</x:v>
      </x:c>
      <x:c r="D146" t="str">
        <x:v>P007</x:v>
      </x:c>
      <x:c r="E146" s="23" t="n">
        <x:v>1</x:v>
      </x:c>
      <x:c r="F146" s="23" t="n">
        <x:v>3000</x:v>
      </x:c>
      <x:c r="G146" s="23" t="n">
        <x:v>0</x:v>
      </x:c>
      <x:c r="H146" t="str">
        <x:v>CANCELLED</x:v>
      </x:c>
      <x:c r="I146" t="n">
        <x:f>IF(COUNTIF($A$2:A146,A146)&gt;1,1,0)</x:f>
        <x:v>0</x:v>
      </x:c>
      <x:c r="J146" t="n">
        <x:f>IF(OR(EXACT(H146,"COMPLETED"),EXACT(H146,"CANCELLED")),0,1)</x:f>
        <x:v>0</x:v>
      </x:c>
    </x:row>
    <x:row r="147">
      <x:c r="A147" t="str">
        <x:v>O00146</x:v>
      </x:c>
      <x:c r="B147" t="str">
        <x:v>2026-07-04 11:54:14</x:v>
      </x:c>
      <x:c r="C147" t="str">
        <x:v>S001</x:v>
      </x:c>
      <x:c r="D147" t="str">
        <x:v>P007</x:v>
      </x:c>
      <x:c r="E147" s="23" t="n">
        <x:v>2</x:v>
      </x:c>
      <x:c r="F147" s="23" t="n">
        <x:v>3000</x:v>
      </x:c>
      <x:c r="G147" s="23" t="n">
        <x:v>0</x:v>
      </x:c>
      <x:c r="H147" t="str">
        <x:v>CANCELLED</x:v>
      </x:c>
      <x:c r="I147" t="n">
        <x:f>IF(COUNTIF($A$2:A147,A147)&gt;1,1,0)</x:f>
        <x:v>0</x:v>
      </x:c>
      <x:c r="J147" t="n">
        <x:f>IF(OR(EXACT(H147,"COMPLETED"),EXACT(H147,"CANCELLED")),0,1)</x:f>
        <x:v>0</x:v>
      </x:c>
    </x:row>
    <x:row r="148">
      <x:c r="A148" t="str">
        <x:v>O00147</x:v>
      </x:c>
      <x:c r="B148" t="str">
        <x:v>2026-07-04 10:23:58</x:v>
      </x:c>
      <x:c r="C148" t="str">
        <x:v>S002</x:v>
      </x:c>
      <x:c r="D148" t="str">
        <x:v>P001</x:v>
      </x:c>
      <x:c r="E148" s="23" t="n">
        <x:v>2</x:v>
      </x:c>
      <x:c r="F148" s="23" t="n">
        <x:v>4500</x:v>
      </x:c>
      <x:c r="G148" s="23" t="n">
        <x:v>0</x:v>
      </x:c>
      <x:c r="H148" t="str">
        <x:v>COMPLETED</x:v>
      </x:c>
      <x:c r="I148" t="n">
        <x:f>IF(COUNTIF($A$2:A148,A148)&gt;1,1,0)</x:f>
        <x:v>0</x:v>
      </x:c>
      <x:c r="J148" t="n">
        <x:f>IF(OR(EXACT(H148,"COMPLETED"),EXACT(H148,"CANCELLED")),0,1)</x:f>
        <x:v>0</x:v>
      </x:c>
    </x:row>
    <x:row r="149">
      <x:c r="A149" t="str">
        <x:v>O00148</x:v>
      </x:c>
      <x:c r="B149" t="str">
        <x:v>2026-07-09 09:39:26</x:v>
      </x:c>
      <x:c r="C149" t="str">
        <x:v>S003</x:v>
      </x:c>
      <x:c r="D149" t="str">
        <x:v>P004</x:v>
      </x:c>
      <x:c r="E149" s="23" t="n">
        <x:v>1</x:v>
      </x:c>
      <x:c r="F149" s="23" t="n">
        <x:v>4800</x:v>
      </x:c>
      <x:c r="G149" s="23" t="n">
        <x:v>0</x:v>
      </x:c>
      <x:c r="H149" t="str">
        <x:v>COMPLETED</x:v>
      </x:c>
      <x:c r="I149" t="n">
        <x:f>IF(COUNTIF($A$2:A149,A149)&gt;1,1,0)</x:f>
        <x:v>0</x:v>
      </x:c>
      <x:c r="J149" t="n">
        <x:f>IF(OR(EXACT(H149,"COMPLETED"),EXACT(H149,"CANCELLED")),0,1)</x:f>
        <x:v>0</x:v>
      </x:c>
    </x:row>
    <x:row r="150">
      <x:c r="A150" t="str">
        <x:v>O00149</x:v>
      </x:c>
      <x:c r="B150" t="str">
        <x:v>2026-07-06 18:43:15</x:v>
      </x:c>
      <x:c r="C150" t="str">
        <x:v>S001</x:v>
      </x:c>
      <x:c r="D150" t="str">
        <x:v>P004</x:v>
      </x:c>
      <x:c r="E150" s="23" t="n">
        <x:v>1</x:v>
      </x:c>
      <x:c r="F150" s="23" t="n">
        <x:v>4800</x:v>
      </x:c>
      <x:c r="G150" s="23" t="n">
        <x:v>0</x:v>
      </x:c>
      <x:c r="H150" t="str">
        <x:v>COMPLETED</x:v>
      </x:c>
      <x:c r="I150" t="n">
        <x:f>IF(COUNTIF($A$2:A150,A150)&gt;1,1,0)</x:f>
        <x:v>0</x:v>
      </x:c>
      <x:c r="J150" t="n">
        <x:f>IF(OR(EXACT(H150,"COMPLETED"),EXACT(H150,"CANCELLED")),0,1)</x:f>
        <x:v>0</x:v>
      </x:c>
    </x:row>
    <x:row r="151">
      <x:c r="A151" t="str">
        <x:v>O00150</x:v>
      </x:c>
      <x:c r="B151" t="str">
        <x:v>2026-07-01 11:13:27</x:v>
      </x:c>
      <x:c r="C151" t="str">
        <x:v>S001</x:v>
      </x:c>
      <x:c r="D151" t="str">
        <x:v>P001</x:v>
      </x:c>
      <x:c r="E151" s="23" t="n">
        <x:v>1</x:v>
      </x:c>
      <x:c r="F151" s="23" t="n">
        <x:v>4500</x:v>
      </x:c>
      <x:c r="G151" s="23" t="n">
        <x:v>0</x:v>
      </x:c>
      <x:c r="H151" t="str">
        <x:v>COMPLETED</x:v>
      </x:c>
      <x:c r="I151" t="n">
        <x:f>IF(COUNTIF($A$2:A151,A151)&gt;1,1,0)</x:f>
        <x:v>0</x:v>
      </x:c>
      <x:c r="J151" t="n">
        <x:f>IF(OR(EXACT(H151,"COMPLETED"),EXACT(H151,"CANCELLED")),0,1)</x:f>
        <x:v>0</x:v>
      </x:c>
    </x:row>
    <x:row r="152">
      <x:c r="A152" t="str">
        <x:v>O00151</x:v>
      </x:c>
      <x:c r="B152" t="str">
        <x:v>2026-07-07 13:53:08</x:v>
      </x:c>
      <x:c r="C152" t="str">
        <x:v>S002</x:v>
      </x:c>
      <x:c r="D152" t="str">
        <x:v>P008</x:v>
      </x:c>
      <x:c r="E152" s="23" t="n">
        <x:v>1</x:v>
      </x:c>
      <x:c r="F152" s="23" t="n">
        <x:v>4200</x:v>
      </x:c>
      <x:c r="G152" s="23" t="n">
        <x:v>0</x:v>
      </x:c>
      <x:c r="H152" t="str">
        <x:v>COMPLETED</x:v>
      </x:c>
      <x:c r="I152" t="n">
        <x:f>IF(COUNTIF($A$2:A152,A152)&gt;1,1,0)</x:f>
        <x:v>0</x:v>
      </x:c>
      <x:c r="J152" t="n">
        <x:f>IF(OR(EXACT(H152,"COMPLETED"),EXACT(H152,"CANCELLED")),0,1)</x:f>
        <x:v>0</x:v>
      </x:c>
    </x:row>
    <x:row r="153">
      <x:c r="A153" t="str">
        <x:v>O00152</x:v>
      </x:c>
      <x:c r="B153" t="str">
        <x:v>2026-07-12 08:30:02</x:v>
      </x:c>
      <x:c r="C153" t="str">
        <x:v>S002</x:v>
      </x:c>
      <x:c r="D153" t="str">
        <x:v>P008</x:v>
      </x:c>
      <x:c r="E153" s="23" t="n">
        <x:v>2</x:v>
      </x:c>
      <x:c r="F153" s="23" t="n">
        <x:v>4200</x:v>
      </x:c>
      <x:c r="G153" s="23" t="n">
        <x:v>0</x:v>
      </x:c>
      <x:c r="H153" t="str">
        <x:v>COMPLETED</x:v>
      </x:c>
      <x:c r="I153" t="n">
        <x:f>IF(COUNTIF($A$2:A153,A153)&gt;1,1,0)</x:f>
        <x:v>0</x:v>
      </x:c>
      <x:c r="J153" t="n">
        <x:f>IF(OR(EXACT(H153,"COMPLETED"),EXACT(H153,"CANCELLED")),0,1)</x:f>
        <x:v>0</x:v>
      </x:c>
    </x:row>
    <x:row r="154">
      <x:c r="A154" t="str">
        <x:v>O00153</x:v>
      </x:c>
      <x:c r="B154" t="str">
        <x:v>2026-07-14 07:20:50</x:v>
      </x:c>
      <x:c r="C154" t="str">
        <x:v>S003</x:v>
      </x:c>
      <x:c r="D154" t="str">
        <x:v>P001</x:v>
      </x:c>
      <x:c r="E154" s="23" t="n">
        <x:v>1</x:v>
      </x:c>
      <x:c r="F154" s="23" t="n">
        <x:v>4500</x:v>
      </x:c>
      <x:c r="G154" s="23" t="n">
        <x:v>0</x:v>
      </x:c>
      <x:c r="H154" t="str">
        <x:v>COMPLETED</x:v>
      </x:c>
      <x:c r="I154" t="n">
        <x:f>IF(COUNTIF($A$2:A154,A154)&gt;1,1,0)</x:f>
        <x:v>0</x:v>
      </x:c>
      <x:c r="J154" t="n">
        <x:f>IF(OR(EXACT(H154,"COMPLETED"),EXACT(H154,"CANCELLED")),0,1)</x:f>
        <x:v>0</x:v>
      </x:c>
    </x:row>
    <x:row r="155">
      <x:c r="A155" t="str">
        <x:v>O00154</x:v>
      </x:c>
      <x:c r="B155" t="str">
        <x:v>2026-07-03 15:08:52</x:v>
      </x:c>
      <x:c r="C155" t="str">
        <x:v>S001</x:v>
      </x:c>
      <x:c r="D155" t="str">
        <x:v>P004</x:v>
      </x:c>
      <x:c r="E155" s="23" t="n">
        <x:v>1</x:v>
      </x:c>
      <x:c r="F155" s="23" t="n">
        <x:v>4800</x:v>
      </x:c>
      <x:c r="G155" s="23" t="n">
        <x:v>0</x:v>
      </x:c>
      <x:c r="H155" t="str">
        <x:v>COMPLETED</x:v>
      </x:c>
      <x:c r="I155" t="n">
        <x:f>IF(COUNTIF($A$2:A155,A155)&gt;1,1,0)</x:f>
        <x:v>0</x:v>
      </x:c>
      <x:c r="J155" t="n">
        <x:f>IF(OR(EXACT(H155,"COMPLETED"),EXACT(H155,"CANCELLED")),0,1)</x:f>
        <x:v>0</x:v>
      </x:c>
    </x:row>
    <x:row r="156">
      <x:c r="A156" t="str">
        <x:v>O00155</x:v>
      </x:c>
      <x:c r="B156" t="str">
        <x:v>2026-07-07 19:47:55</x:v>
      </x:c>
      <x:c r="C156" t="str">
        <x:v>S002</x:v>
      </x:c>
      <x:c r="D156" t="str">
        <x:v>P006</x:v>
      </x:c>
      <x:c r="E156" s="23" t="n">
        <x:v>1</x:v>
      </x:c>
      <x:c r="F156" s="23" t="n">
        <x:v>7500</x:v>
      </x:c>
      <x:c r="G156" s="23" t="n">
        <x:v>0</x:v>
      </x:c>
      <x:c r="H156" t="str">
        <x:v>COMPLETED</x:v>
      </x:c>
      <x:c r="I156" t="n">
        <x:f>IF(COUNTIF($A$2:A156,A156)&gt;1,1,0)</x:f>
        <x:v>0</x:v>
      </x:c>
      <x:c r="J156" t="n">
        <x:f>IF(OR(EXACT(H156,"COMPLETED"),EXACT(H156,"CANCELLED")),0,1)</x:f>
        <x:v>0</x:v>
      </x:c>
    </x:row>
    <x:row r="157">
      <x:c r="A157" t="str">
        <x:v>O00156</x:v>
      </x:c>
      <x:c r="B157" t="str">
        <x:v>2026-07-02 14:42:28</x:v>
      </x:c>
      <x:c r="C157" t="str">
        <x:v>S001</x:v>
      </x:c>
      <x:c r="D157" t="str">
        <x:v>P002</x:v>
      </x:c>
      <x:c r="E157" s="23" t="n">
        <x:v>1</x:v>
      </x:c>
      <x:c r="F157" s="23" t="n">
        <x:v>5000</x:v>
      </x:c>
      <x:c r="G157" s="23" t="n">
        <x:v>0</x:v>
      </x:c>
      <x:c r="H157" t="str">
        <x:v>COMPLETED</x:v>
      </x:c>
      <x:c r="I157" t="n">
        <x:f>IF(COUNTIF($A$2:A157,A157)&gt;1,1,0)</x:f>
        <x:v>0</x:v>
      </x:c>
      <x:c r="J157" t="n">
        <x:f>IF(OR(EXACT(H157,"COMPLETED"),EXACT(H157,"CANCELLED")),0,1)</x:f>
        <x:v>0</x:v>
      </x:c>
    </x:row>
    <x:row r="158">
      <x:c r="A158" t="str">
        <x:v>O00157</x:v>
      </x:c>
      <x:c r="B158" t="str">
        <x:v>2026-07-04 08:26:00</x:v>
      </x:c>
      <x:c r="C158" t="str">
        <x:v>S003</x:v>
      </x:c>
      <x:c r="D158" t="str">
        <x:v>P001</x:v>
      </x:c>
      <x:c r="E158" s="23" t="n">
        <x:v>2</x:v>
      </x:c>
      <x:c r="F158" s="23" t="n">
        <x:v>4500</x:v>
      </x:c>
      <x:c r="G158" s="23" t="n">
        <x:v>0</x:v>
      </x:c>
      <x:c r="H158" t="str">
        <x:v>COMPLETED</x:v>
      </x:c>
      <x:c r="I158" t="n">
        <x:f>IF(COUNTIF($A$2:A158,A158)&gt;1,1,0)</x:f>
        <x:v>0</x:v>
      </x:c>
      <x:c r="J158" t="n">
        <x:f>IF(OR(EXACT(H158,"COMPLETED"),EXACT(H158,"CANCELLED")),0,1)</x:f>
        <x:v>0</x:v>
      </x:c>
    </x:row>
    <x:row r="159">
      <x:c r="A159" t="str">
        <x:v>O00158</x:v>
      </x:c>
      <x:c r="B159" t="str">
        <x:v>2026-07-12 15:24:23</x:v>
      </x:c>
      <x:c r="C159" t="str">
        <x:v>S003</x:v>
      </x:c>
      <x:c r="D159" t="str">
        <x:v>P002</x:v>
      </x:c>
      <x:c r="E159" s="23" t="n">
        <x:v>1</x:v>
      </x:c>
      <x:c r="F159" s="23" t="n">
        <x:v>5000</x:v>
      </x:c>
      <x:c r="G159" s="23" t="n">
        <x:v>0</x:v>
      </x:c>
      <x:c r="H159" t="str">
        <x:v>COMPLETED</x:v>
      </x:c>
      <x:c r="I159" t="n">
        <x:f>IF(COUNTIF($A$2:A159,A159)&gt;1,1,0)</x:f>
        <x:v>0</x:v>
      </x:c>
      <x:c r="J159" t="n">
        <x:f>IF(OR(EXACT(H159,"COMPLETED"),EXACT(H159,"CANCELLED")),0,1)</x:f>
        <x:v>0</x:v>
      </x:c>
    </x:row>
    <x:row r="160">
      <x:c r="A160" t="str">
        <x:v>O00159</x:v>
      </x:c>
      <x:c r="B160" t="str">
        <x:v>2026-07-03 10:51:53</x:v>
      </x:c>
      <x:c r="C160" t="str">
        <x:v>S002</x:v>
      </x:c>
      <x:c r="D160" t="str">
        <x:v>P004</x:v>
      </x:c>
      <x:c r="E160" s="23" t="n">
        <x:v>3</x:v>
      </x:c>
      <x:c r="F160" s="23" t="n">
        <x:v>4800</x:v>
      </x:c>
      <x:c r="G160" s="23" t="n">
        <x:v>0</x:v>
      </x:c>
      <x:c r="H160" t="str">
        <x:v>COMPLETED</x:v>
      </x:c>
      <x:c r="I160" t="n">
        <x:f>IF(COUNTIF($A$2:A160,A160)&gt;1,1,0)</x:f>
        <x:v>0</x:v>
      </x:c>
      <x:c r="J160" t="n">
        <x:f>IF(OR(EXACT(H160,"COMPLETED"),EXACT(H160,"CANCELLED")),0,1)</x:f>
        <x:v>0</x:v>
      </x:c>
    </x:row>
    <x:row r="161">
      <x:c r="A161" t="str">
        <x:v>O00160</x:v>
      </x:c>
      <x:c r="B161" t="str">
        <x:v>2026-07-11 21:18:30</x:v>
      </x:c>
      <x:c r="C161" t="str">
        <x:v>S002</x:v>
      </x:c>
      <x:c r="D161" t="str">
        <x:v>P001</x:v>
      </x:c>
      <x:c r="E161" s="23" t="n">
        <x:v>1</x:v>
      </x:c>
      <x:c r="F161" s="23" t="n">
        <x:v>4500</x:v>
      </x:c>
      <x:c r="G161" s="23" t="n">
        <x:v>0</x:v>
      </x:c>
      <x:c r="H161" t="str">
        <x:v>COMPLETED</x:v>
      </x:c>
      <x:c r="I161" t="n">
        <x:f>IF(COUNTIF($A$2:A161,A161)&gt;1,1,0)</x:f>
        <x:v>0</x:v>
      </x:c>
      <x:c r="J161" t="n">
        <x:f>IF(OR(EXACT(H161,"COMPLETED"),EXACT(H161,"CANCELLED")),0,1)</x:f>
        <x:v>0</x:v>
      </x:c>
    </x:row>
    <x:row r="162">
      <x:c r="A162" t="str">
        <x:v>O00161</x:v>
      </x:c>
      <x:c r="B162" t="str">
        <x:v>2026-07-03 18:14:16</x:v>
      </x:c>
      <x:c r="C162" t="str">
        <x:v>S002</x:v>
      </x:c>
      <x:c r="D162" t="str">
        <x:v>P003</x:v>
      </x:c>
      <x:c r="E162" s="23" t="n">
        <x:v>2</x:v>
      </x:c>
      <x:c r="F162" s="23" t="n">
        <x:v>5500</x:v>
      </x:c>
      <x:c r="G162" s="23" t="n">
        <x:v>0</x:v>
      </x:c>
      <x:c r="H162" t="str">
        <x:v>CANCELLED</x:v>
      </x:c>
      <x:c r="I162" t="n">
        <x:f>IF(COUNTIF($A$2:A162,A162)&gt;1,1,0)</x:f>
        <x:v>0</x:v>
      </x:c>
      <x:c r="J162" t="n">
        <x:f>IF(OR(EXACT(H162,"COMPLETED"),EXACT(H162,"CANCELLED")),0,1)</x:f>
        <x:v>0</x:v>
      </x:c>
    </x:row>
    <x:row r="163">
      <x:c r="A163" t="str">
        <x:v>O00162</x:v>
      </x:c>
      <x:c r="B163" t="str">
        <x:v>2026-07-09 10:26:32</x:v>
      </x:c>
      <x:c r="C163" t="str">
        <x:v>S003</x:v>
      </x:c>
      <x:c r="D163" t="str">
        <x:v>P006</x:v>
      </x:c>
      <x:c r="E163" s="23" t="n">
        <x:v>1</x:v>
      </x:c>
      <x:c r="F163" s="23" t="n">
        <x:v>7500</x:v>
      </x:c>
      <x:c r="G163" s="23" t="n">
        <x:v>10</x:v>
      </x:c>
      <x:c r="H163" t="str">
        <x:v>CANCELLED</x:v>
      </x:c>
      <x:c r="I163" t="n">
        <x:f>IF(COUNTIF($A$2:A163,A163)&gt;1,1,0)</x:f>
        <x:v>0</x:v>
      </x:c>
      <x:c r="J163" t="n">
        <x:f>IF(OR(EXACT(H163,"COMPLETED"),EXACT(H163,"CANCELLED")),0,1)</x:f>
        <x:v>0</x:v>
      </x:c>
    </x:row>
    <x:row r="164">
      <x:c r="A164" t="str">
        <x:v>O00163</x:v>
      </x:c>
      <x:c r="B164" t="str">
        <x:v>2026-07-04 21:49:35</x:v>
      </x:c>
      <x:c r="C164" t="str">
        <x:v>S003</x:v>
      </x:c>
      <x:c r="D164" t="str">
        <x:v>P008</x:v>
      </x:c>
      <x:c r="E164" s="23" t="n">
        <x:v>1</x:v>
      </x:c>
      <x:c r="F164" s="23" t="n">
        <x:v>4200</x:v>
      </x:c>
      <x:c r="G164" s="23" t="n">
        <x:v>0</x:v>
      </x:c>
      <x:c r="H164" t="str">
        <x:v>COMPLETED</x:v>
      </x:c>
      <x:c r="I164" t="n">
        <x:f>IF(COUNTIF($A$2:A164,A164)&gt;1,1,0)</x:f>
        <x:v>0</x:v>
      </x:c>
      <x:c r="J164" t="n">
        <x:f>IF(OR(EXACT(H164,"COMPLETED"),EXACT(H164,"CANCELLED")),0,1)</x:f>
        <x:v>0</x:v>
      </x:c>
    </x:row>
    <x:row r="165">
      <x:c r="A165" t="str">
        <x:v>O00164</x:v>
      </x:c>
      <x:c r="B165" t="str">
        <x:v>2026-07-05 11:15:46</x:v>
      </x:c>
      <x:c r="C165" t="str">
        <x:v>S001</x:v>
      </x:c>
      <x:c r="D165" t="str">
        <x:v>P002</x:v>
      </x:c>
      <x:c r="E165" s="23" t="n">
        <x:v>1</x:v>
      </x:c>
      <x:c r="F165" s="23" t="n">
        <x:v>5000</x:v>
      </x:c>
      <x:c r="G165" s="23" t="n">
        <x:v>10</x:v>
      </x:c>
      <x:c r="H165" t="str">
        <x:v>COMPLETED</x:v>
      </x:c>
      <x:c r="I165" t="n">
        <x:f>IF(COUNTIF($A$2:A165,A165)&gt;1,1,0)</x:f>
        <x:v>0</x:v>
      </x:c>
      <x:c r="J165" t="n">
        <x:f>IF(OR(EXACT(H165,"COMPLETED"),EXACT(H165,"CANCELLED")),0,1)</x:f>
        <x:v>0</x:v>
      </x:c>
    </x:row>
    <x:row r="166">
      <x:c r="A166" t="str">
        <x:v>O00165</x:v>
      </x:c>
      <x:c r="B166" t="str">
        <x:v>2026-07-02 11:18:25</x:v>
      </x:c>
      <x:c r="C166" t="str">
        <x:v>S002</x:v>
      </x:c>
      <x:c r="D166" t="str">
        <x:v>P002</x:v>
      </x:c>
      <x:c r="E166" s="23" t="n">
        <x:v>1</x:v>
      </x:c>
      <x:c r="F166" s="23" t="n">
        <x:v>5000</x:v>
      </x:c>
      <x:c r="G166" s="23" t="n">
        <x:v>0</x:v>
      </x:c>
      <x:c r="H166" t="str">
        <x:v>CANCELLED</x:v>
      </x:c>
      <x:c r="I166" t="n">
        <x:f>IF(COUNTIF($A$2:A166,A166)&gt;1,1,0)</x:f>
        <x:v>0</x:v>
      </x:c>
      <x:c r="J166" t="n">
        <x:f>IF(OR(EXACT(H166,"COMPLETED"),EXACT(H166,"CANCELLED")),0,1)</x:f>
        <x:v>0</x:v>
      </x:c>
    </x:row>
    <x:row r="167">
      <x:c r="A167" t="str">
        <x:v>O00166</x:v>
      </x:c>
      <x:c r="B167" t="str">
        <x:v>2026-07-01 19:49:52</x:v>
      </x:c>
      <x:c r="C167" t="str">
        <x:v>S002</x:v>
      </x:c>
      <x:c r="D167" t="str">
        <x:v>P003</x:v>
      </x:c>
      <x:c r="E167" s="23" t="n">
        <x:v>1</x:v>
      </x:c>
      <x:c r="F167" s="23" t="n">
        <x:v>5500</x:v>
      </x:c>
      <x:c r="G167" s="23" t="n">
        <x:v>0</x:v>
      </x:c>
      <x:c r="H167" t="str">
        <x:v>COMPLETED</x:v>
      </x:c>
      <x:c r="I167" t="n">
        <x:f>IF(COUNTIF($A$2:A167,A167)&gt;1,1,0)</x:f>
        <x:v>0</x:v>
      </x:c>
      <x:c r="J167" t="n">
        <x:f>IF(OR(EXACT(H167,"COMPLETED"),EXACT(H167,"CANCELLED")),0,1)</x:f>
        <x:v>0</x:v>
      </x:c>
    </x:row>
    <x:row r="168">
      <x:c r="A168" t="str">
        <x:v>O00167</x:v>
      </x:c>
      <x:c r="B168" t="str">
        <x:v>2026-07-03 13:11:48</x:v>
      </x:c>
      <x:c r="C168" t="str">
        <x:v>S002</x:v>
      </x:c>
      <x:c r="D168" t="str">
        <x:v>P001</x:v>
      </x:c>
      <x:c r="E168" s="23" t="n">
        <x:v>2</x:v>
      </x:c>
      <x:c r="F168" s="23" t="n">
        <x:v>4500</x:v>
      </x:c>
      <x:c r="G168" s="23" t="n">
        <x:v>0</x:v>
      </x:c>
      <x:c r="H168" t="str">
        <x:v>COMPLETED</x:v>
      </x:c>
      <x:c r="I168" t="n">
        <x:f>IF(COUNTIF($A$2:A168,A168)&gt;1,1,0)</x:f>
        <x:v>0</x:v>
      </x:c>
      <x:c r="J168" t="n">
        <x:f>IF(OR(EXACT(H168,"COMPLETED"),EXACT(H168,"CANCELLED")),0,1)</x:f>
        <x:v>0</x:v>
      </x:c>
    </x:row>
    <x:row r="169">
      <x:c r="A169" t="str">
        <x:v>O00168</x:v>
      </x:c>
      <x:c r="B169" t="str">
        <x:v>2026-07-13 07:39:23</x:v>
      </x:c>
      <x:c r="C169" t="str">
        <x:v>S002</x:v>
      </x:c>
      <x:c r="D169" t="str">
        <x:v>P002</x:v>
      </x:c>
      <x:c r="E169" s="23" t="n">
        <x:v>1</x:v>
      </x:c>
      <x:c r="F169" s="23" t="n">
        <x:v>5000</x:v>
      </x:c>
      <x:c r="G169" s="23" t="n">
        <x:v>10</x:v>
      </x:c>
      <x:c r="H169" t="str">
        <x:v>COMPLETED</x:v>
      </x:c>
      <x:c r="I169" t="n">
        <x:f>IF(COUNTIF($A$2:A169,A169)&gt;1,1,0)</x:f>
        <x:v>0</x:v>
      </x:c>
      <x:c r="J169" t="n">
        <x:f>IF(OR(EXACT(H169,"COMPLETED"),EXACT(H169,"CANCELLED")),0,1)</x:f>
        <x:v>0</x:v>
      </x:c>
    </x:row>
    <x:row r="170">
      <x:c r="A170" t="str">
        <x:v>O00169</x:v>
      </x:c>
      <x:c r="B170" t="str">
        <x:v>2026-07-12 18:38:01</x:v>
      </x:c>
      <x:c r="C170" t="str">
        <x:v>S001</x:v>
      </x:c>
      <x:c r="D170" t="str">
        <x:v>P001</x:v>
      </x:c>
      <x:c r="E170" s="23" t="n">
        <x:v>1</x:v>
      </x:c>
      <x:c r="F170" s="23" t="n">
        <x:v>4500</x:v>
      </x:c>
      <x:c r="G170" s="23" t="n">
        <x:v>0</x:v>
      </x:c>
      <x:c r="H170" t="str">
        <x:v>COMPLETED</x:v>
      </x:c>
      <x:c r="I170" t="n">
        <x:f>IF(COUNTIF($A$2:A170,A170)&gt;1,1,0)</x:f>
        <x:v>0</x:v>
      </x:c>
      <x:c r="J170" t="n">
        <x:f>IF(OR(EXACT(H170,"COMPLETED"),EXACT(H170,"CANCELLED")),0,1)</x:f>
        <x:v>0</x:v>
      </x:c>
    </x:row>
    <x:row r="171">
      <x:c r="A171" t="str">
        <x:v>O00170</x:v>
      </x:c>
      <x:c r="B171" t="str">
        <x:v>2026-07-07 14:54:45</x:v>
      </x:c>
      <x:c r="C171" t="str">
        <x:v>S001</x:v>
      </x:c>
      <x:c r="D171" t="str">
        <x:v>P001</x:v>
      </x:c>
      <x:c r="E171" s="23" t="n">
        <x:v>2</x:v>
      </x:c>
      <x:c r="F171" s="23" t="n">
        <x:v>4500</x:v>
      </x:c>
      <x:c r="G171" s="23" t="n">
        <x:v>0</x:v>
      </x:c>
      <x:c r="H171" t="str">
        <x:v>COMPLETED</x:v>
      </x:c>
      <x:c r="I171" t="n">
        <x:f>IF(COUNTIF($A$2:A171,A171)&gt;1,1,0)</x:f>
        <x:v>0</x:v>
      </x:c>
      <x:c r="J171" t="n">
        <x:f>IF(OR(EXACT(H171,"COMPLETED"),EXACT(H171,"CANCELLED")),0,1)</x:f>
        <x:v>0</x:v>
      </x:c>
    </x:row>
    <x:row r="172">
      <x:c r="A172" t="str">
        <x:v>O00171</x:v>
      </x:c>
      <x:c r="B172" t="str">
        <x:v>2026-07-01 19:42:42</x:v>
      </x:c>
      <x:c r="C172" t="str">
        <x:v>S003</x:v>
      </x:c>
      <x:c r="D172" t="str">
        <x:v>P001</x:v>
      </x:c>
      <x:c r="E172" s="23" t="n">
        <x:v>1</x:v>
      </x:c>
      <x:c r="F172" s="23" t="n">
        <x:v>4500</x:v>
      </x:c>
      <x:c r="G172" s="23" t="n">
        <x:v>0</x:v>
      </x:c>
      <x:c r="H172" t="str">
        <x:v>CANCELLED</x:v>
      </x:c>
      <x:c r="I172" t="n">
        <x:f>IF(COUNTIF($A$2:A172,A172)&gt;1,1,0)</x:f>
        <x:v>0</x:v>
      </x:c>
      <x:c r="J172" t="n">
        <x:f>IF(OR(EXACT(H172,"COMPLETED"),EXACT(H172,"CANCELLED")),0,1)</x:f>
        <x:v>0</x:v>
      </x:c>
    </x:row>
    <x:row r="173">
      <x:c r="A173" t="str">
        <x:v>O00172</x:v>
      </x:c>
      <x:c r="B173" t="str">
        <x:v>2026-07-13 12:23:37</x:v>
      </x:c>
      <x:c r="C173" t="str">
        <x:v>S001</x:v>
      </x:c>
      <x:c r="D173" t="str">
        <x:v>P001</x:v>
      </x:c>
      <x:c r="E173" s="23" t="n">
        <x:v>1</x:v>
      </x:c>
      <x:c r="F173" s="23" t="n">
        <x:v>4500</x:v>
      </x:c>
      <x:c r="G173" s="23" t="n">
        <x:v>10</x:v>
      </x:c>
      <x:c r="H173" t="str">
        <x:v>COMPLETED</x:v>
      </x:c>
      <x:c r="I173" t="n">
        <x:f>IF(COUNTIF($A$2:A173,A173)&gt;1,1,0)</x:f>
        <x:v>0</x:v>
      </x:c>
      <x:c r="J173" t="n">
        <x:f>IF(OR(EXACT(H173,"COMPLETED"),EXACT(H173,"CANCELLED")),0,1)</x:f>
        <x:v>0</x:v>
      </x:c>
    </x:row>
    <x:row r="174">
      <x:c r="A174" t="str">
        <x:v>O00173</x:v>
      </x:c>
      <x:c r="B174" t="str">
        <x:v>2026-07-10 21:08:09</x:v>
      </x:c>
      <x:c r="C174" t="str">
        <x:v>S003</x:v>
      </x:c>
      <x:c r="D174" t="str">
        <x:v>P007</x:v>
      </x:c>
      <x:c r="E174" s="23" t="n">
        <x:v>2</x:v>
      </x:c>
      <x:c r="F174" s="23" t="n">
        <x:v>3000</x:v>
      </x:c>
      <x:c r="G174" s="23" t="n">
        <x:v>0</x:v>
      </x:c>
      <x:c r="H174" t="str">
        <x:v>COMPLETED</x:v>
      </x:c>
      <x:c r="I174" t="n">
        <x:f>IF(COUNTIF($A$2:A174,A174)&gt;1,1,0)</x:f>
        <x:v>0</x:v>
      </x:c>
      <x:c r="J174" t="n">
        <x:f>IF(OR(EXACT(H174,"COMPLETED"),EXACT(H174,"CANCELLED")),0,1)</x:f>
        <x:v>0</x:v>
      </x:c>
    </x:row>
    <x:row r="175">
      <x:c r="A175" t="str">
        <x:v>O00174</x:v>
      </x:c>
      <x:c r="B175" t="str">
        <x:v>2026-07-11 18:29:56</x:v>
      </x:c>
      <x:c r="C175" t="str">
        <x:v>S002</x:v>
      </x:c>
      <x:c r="D175" t="str">
        <x:v>P006</x:v>
      </x:c>
      <x:c r="E175" s="23" t="n">
        <x:v>1</x:v>
      </x:c>
      <x:c r="F175" s="23" t="n">
        <x:v>7500</x:v>
      </x:c>
      <x:c r="G175" s="23" t="n">
        <x:v>0</x:v>
      </x:c>
      <x:c r="H175" t="str">
        <x:v>COMPLETED</x:v>
      </x:c>
      <x:c r="I175" t="n">
        <x:f>IF(COUNTIF($A$2:A175,A175)&gt;1,1,0)</x:f>
        <x:v>0</x:v>
      </x:c>
      <x:c r="J175" t="n">
        <x:f>IF(OR(EXACT(H175,"COMPLETED"),EXACT(H175,"CANCELLED")),0,1)</x:f>
        <x:v>0</x:v>
      </x:c>
    </x:row>
    <x:row r="176">
      <x:c r="A176" t="str">
        <x:v>O00175</x:v>
      </x:c>
      <x:c r="B176" t="str">
        <x:v>2026-07-01 20:09:04</x:v>
      </x:c>
      <x:c r="C176" t="str">
        <x:v>S003</x:v>
      </x:c>
      <x:c r="D176" t="str">
        <x:v>P002</x:v>
      </x:c>
      <x:c r="E176" s="23" t="n">
        <x:v>3</x:v>
      </x:c>
      <x:c r="F176" s="23" t="n">
        <x:v>5000</x:v>
      </x:c>
      <x:c r="G176" s="23" t="n">
        <x:v>0</x:v>
      </x:c>
      <x:c r="H176" t="str">
        <x:v>completed</x:v>
      </x:c>
      <x:c r="I176" t="n">
        <x:f>IF(COUNTIF($A$2:A176,A176)&gt;1,1,0)</x:f>
        <x:v>0</x:v>
      </x:c>
      <x:c r="J176" t="n">
        <x:f>IF(OR(EXACT(H176,"COMPLETED"),EXACT(H176,"CANCELLED")),0,1)</x:f>
        <x:v>1</x:v>
      </x:c>
    </x:row>
    <x:row r="177">
      <x:c r="A177" t="str">
        <x:v>O00176</x:v>
      </x:c>
      <x:c r="B177" t="str">
        <x:v>2026-07-13 15:06:18</x:v>
      </x:c>
      <x:c r="C177" t="str">
        <x:v>S001</x:v>
      </x:c>
      <x:c r="D177" t="str">
        <x:v>P003</x:v>
      </x:c>
      <x:c r="E177" s="23" t="n">
        <x:v>1</x:v>
      </x:c>
      <x:c r="F177" s="23" t="n">
        <x:v>5500</x:v>
      </x:c>
      <x:c r="G177" s="23" t="n">
        <x:v>0</x:v>
      </x:c>
      <x:c r="H177" t="str">
        <x:v>COMPLETED</x:v>
      </x:c>
      <x:c r="I177" t="n">
        <x:f>IF(COUNTIF($A$2:A177,A177)&gt;1,1,0)</x:f>
        <x:v>0</x:v>
      </x:c>
      <x:c r="J177" t="n">
        <x:f>IF(OR(EXACT(H177,"COMPLETED"),EXACT(H177,"CANCELLED")),0,1)</x:f>
        <x:v>0</x:v>
      </x:c>
    </x:row>
    <x:row r="178">
      <x:c r="A178" t="str">
        <x:v>O00177</x:v>
      </x:c>
      <x:c r="B178" t="str">
        <x:v>2026-07-14 19:28:01</x:v>
      </x:c>
      <x:c r="C178" t="str">
        <x:v>S002</x:v>
      </x:c>
      <x:c r="D178" t="str">
        <x:v>P003</x:v>
      </x:c>
      <x:c r="E178" s="23" t="n">
        <x:v>1</x:v>
      </x:c>
      <x:c r="F178" s="23" t="n">
        <x:v>5500</x:v>
      </x:c>
      <x:c r="G178" s="23" t="n">
        <x:v>0</x:v>
      </x:c>
      <x:c r="H178" t="str">
        <x:v>COMPLETED</x:v>
      </x:c>
      <x:c r="I178" t="n">
        <x:f>IF(COUNTIF($A$2:A178,A178)&gt;1,1,0)</x:f>
        <x:v>0</x:v>
      </x:c>
      <x:c r="J178" t="n">
        <x:f>IF(OR(EXACT(H178,"COMPLETED"),EXACT(H178,"CANCELLED")),0,1)</x:f>
        <x:v>0</x:v>
      </x:c>
    </x:row>
    <x:row r="179">
      <x:c r="A179" t="str">
        <x:v>O00178</x:v>
      </x:c>
      <x:c r="B179" t="str">
        <x:v>2026-07-05 14:17:29</x:v>
      </x:c>
      <x:c r="C179" t="str">
        <x:v>S003</x:v>
      </x:c>
      <x:c r="D179" t="str">
        <x:v>P002</x:v>
      </x:c>
      <x:c r="E179" s="23" t="n">
        <x:v>1</x:v>
      </x:c>
      <x:c r="F179" s="23" t="n">
        <x:v>5000</x:v>
      </x:c>
      <x:c r="G179" s="23" t="n">
        <x:v>0</x:v>
      </x:c>
      <x:c r="H179" t="str">
        <x:v>COMPLETED</x:v>
      </x:c>
      <x:c r="I179" t="n">
        <x:f>IF(COUNTIF($A$2:A179,A179)&gt;1,1,0)</x:f>
        <x:v>0</x:v>
      </x:c>
      <x:c r="J179" t="n">
        <x:f>IF(OR(EXACT(H179,"COMPLETED"),EXACT(H179,"CANCELLED")),0,1)</x:f>
        <x:v>0</x:v>
      </x:c>
    </x:row>
    <x:row r="180">
      <x:c r="A180" t="str">
        <x:v>O00179</x:v>
      </x:c>
      <x:c r="B180" t="str">
        <x:v>2026-07-05 12:47:38</x:v>
      </x:c>
      <x:c r="C180" t="str">
        <x:v>S003</x:v>
      </x:c>
      <x:c r="D180" t="str">
        <x:v>P007</x:v>
      </x:c>
      <x:c r="E180" s="23" t="n">
        <x:v>3</x:v>
      </x:c>
      <x:c r="F180" s="23" t="n">
        <x:v>3000</x:v>
      </x:c>
      <x:c r="G180" s="23" t="n">
        <x:v>0</x:v>
      </x:c>
      <x:c r="H180" t="str">
        <x:v>COMPLETED</x:v>
      </x:c>
      <x:c r="I180" t="n">
        <x:f>IF(COUNTIF($A$2:A180,A180)&gt;1,1,0)</x:f>
        <x:v>0</x:v>
      </x:c>
      <x:c r="J180" t="n">
        <x:f>IF(OR(EXACT(H180,"COMPLETED"),EXACT(H180,"CANCELLED")),0,1)</x:f>
        <x:v>0</x:v>
      </x:c>
    </x:row>
    <x:row r="181">
      <x:c r="A181" t="str">
        <x:v>O00180</x:v>
      </x:c>
      <x:c r="B181" t="str">
        <x:v>2026-07-02 11:18:27</x:v>
      </x:c>
      <x:c r="C181" t="str">
        <x:v>S002</x:v>
      </x:c>
      <x:c r="D181" t="str">
        <x:v>P002</x:v>
      </x:c>
      <x:c r="E181" s="23" t="n">
        <x:v>1</x:v>
      </x:c>
      <x:c r="F181" s="23" t="n">
        <x:v>5000</x:v>
      </x:c>
      <x:c r="G181" s="23" t="n">
        <x:v>0</x:v>
      </x:c>
      <x:c r="H181" t="str">
        <x:v>COMPLETED</x:v>
      </x:c>
      <x:c r="I181" t="n">
        <x:f>IF(COUNTIF($A$2:A181,A181)&gt;1,1,0)</x:f>
        <x:v>0</x:v>
      </x:c>
      <x:c r="J181" t="n">
        <x:f>IF(OR(EXACT(H181,"COMPLETED"),EXACT(H181,"CANCELLED")),0,1)</x:f>
        <x:v>0</x:v>
      </x:c>
    </x:row>
    <x:row r="182">
      <x:c r="A182" t="str">
        <x:v>O00181</x:v>
      </x:c>
      <x:c r="B182" t="str">
        <x:v>2026-07-04 09:26:59</x:v>
      </x:c>
      <x:c r="C182" t="str">
        <x:v>S001</x:v>
      </x:c>
      <x:c r="D182" t="str">
        <x:v>P005</x:v>
      </x:c>
      <x:c r="E182" s="23" t="n">
        <x:v>1</x:v>
      </x:c>
      <x:c r="F182" s="23" t="n">
        <x:v>5500</x:v>
      </x:c>
      <x:c r="G182" s="23" t="n">
        <x:v>0</x:v>
      </x:c>
      <x:c r="H182" t="str">
        <x:v>COMPLETED</x:v>
      </x:c>
      <x:c r="I182" t="n">
        <x:f>IF(COUNTIF($A$2:A182,A182)&gt;1,1,0)</x:f>
        <x:v>0</x:v>
      </x:c>
      <x:c r="J182" t="n">
        <x:f>IF(OR(EXACT(H182,"COMPLETED"),EXACT(H182,"CANCELLED")),0,1)</x:f>
        <x:v>0</x:v>
      </x:c>
    </x:row>
    <x:row r="183">
      <x:c r="A183" t="str">
        <x:v>O00182</x:v>
      </x:c>
      <x:c r="B183" t="str">
        <x:v>2026-07-11 10:30:48</x:v>
      </x:c>
      <x:c r="C183" t="str">
        <x:v>S001</x:v>
      </x:c>
      <x:c r="D183" t="str">
        <x:v>P002</x:v>
      </x:c>
      <x:c r="E183" s="23" t="n">
        <x:v>1</x:v>
      </x:c>
      <x:c r="F183" s="23" t="n">
        <x:v>5000</x:v>
      </x:c>
      <x:c r="G183" s="23" t="n">
        <x:v>0</x:v>
      </x:c>
      <x:c r="H183" t="str">
        <x:v>COMPLETED</x:v>
      </x:c>
      <x:c r="I183" t="n">
        <x:f>IF(COUNTIF($A$2:A183,A183)&gt;1,1,0)</x:f>
        <x:v>0</x:v>
      </x:c>
      <x:c r="J183" t="n">
        <x:f>IF(OR(EXACT(H183,"COMPLETED"),EXACT(H183,"CANCELLED")),0,1)</x:f>
        <x:v>0</x:v>
      </x:c>
    </x:row>
    <x:row r="184">
      <x:c r="A184" t="str">
        <x:v>O00183</x:v>
      </x:c>
      <x:c r="B184" t="str">
        <x:v>2026-07-03 13:28:05</x:v>
      </x:c>
      <x:c r="C184" t="str">
        <x:v>S003</x:v>
      </x:c>
      <x:c r="D184" t="str">
        <x:v>P006</x:v>
      </x:c>
      <x:c r="E184" s="23" t="n">
        <x:v>1</x:v>
      </x:c>
      <x:c r="F184" s="23" t="n">
        <x:v>7500</x:v>
      </x:c>
      <x:c r="G184" s="23" t="n">
        <x:v>0</x:v>
      </x:c>
      <x:c r="H184" t="str">
        <x:v>COMPLETED</x:v>
      </x:c>
      <x:c r="I184" t="n">
        <x:f>IF(COUNTIF($A$2:A184,A184)&gt;1,1,0)</x:f>
        <x:v>0</x:v>
      </x:c>
      <x:c r="J184" t="n">
        <x:f>IF(OR(EXACT(H184,"COMPLETED"),EXACT(H184,"CANCELLED")),0,1)</x:f>
        <x:v>0</x:v>
      </x:c>
    </x:row>
    <x:row r="185">
      <x:c r="A185" t="str">
        <x:v>O00184</x:v>
      </x:c>
      <x:c r="B185" t="str">
        <x:v>2026-07-03 13:25:21</x:v>
      </x:c>
      <x:c r="C185" t="str">
        <x:v>S002</x:v>
      </x:c>
      <x:c r="D185" t="str">
        <x:v>P001</x:v>
      </x:c>
      <x:c r="E185" s="23" t="n">
        <x:v>1</x:v>
      </x:c>
      <x:c r="F185" s="23" t="n">
        <x:v>4500</x:v>
      </x:c>
      <x:c r="G185" s="23" t="n">
        <x:v>0</x:v>
      </x:c>
      <x:c r="H185" t="str">
        <x:v>COMPLETED</x:v>
      </x:c>
      <x:c r="I185" t="n">
        <x:f>IF(COUNTIF($A$2:A185,A185)&gt;1,1,0)</x:f>
        <x:v>0</x:v>
      </x:c>
      <x:c r="J185" t="n">
        <x:f>IF(OR(EXACT(H185,"COMPLETED"),EXACT(H185,"CANCELLED")),0,1)</x:f>
        <x:v>0</x:v>
      </x:c>
    </x:row>
    <x:row r="186">
      <x:c r="A186" t="str">
        <x:v>O00185</x:v>
      </x:c>
      <x:c r="B186" t="str">
        <x:v>2026-07-08 17:22:40</x:v>
      </x:c>
      <x:c r="C186" t="str">
        <x:v>S003</x:v>
      </x:c>
      <x:c r="D186" t="str">
        <x:v>P005</x:v>
      </x:c>
      <x:c r="E186" s="23" t="n">
        <x:v>1</x:v>
      </x:c>
      <x:c r="F186" s="23" t="n">
        <x:v>5500</x:v>
      </x:c>
      <x:c r="G186" s="23" t="n">
        <x:v>0</x:v>
      </x:c>
      <x:c r="H186" t="str">
        <x:v>COMPLETED</x:v>
      </x:c>
      <x:c r="I186" t="n">
        <x:f>IF(COUNTIF($A$2:A186,A186)&gt;1,1,0)</x:f>
        <x:v>0</x:v>
      </x:c>
      <x:c r="J186" t="n">
        <x:f>IF(OR(EXACT(H186,"COMPLETED"),EXACT(H186,"CANCELLED")),0,1)</x:f>
        <x:v>0</x:v>
      </x:c>
    </x:row>
    <x:row r="187">
      <x:c r="A187" t="str">
        <x:v>O00186</x:v>
      </x:c>
      <x:c r="B187" t="str">
        <x:v>2026-07-04 17:52:36</x:v>
      </x:c>
      <x:c r="C187" t="str">
        <x:v>S002</x:v>
      </x:c>
      <x:c r="D187" t="str">
        <x:v>P002</x:v>
      </x:c>
      <x:c r="E187" s="23" t="n">
        <x:v>1</x:v>
      </x:c>
      <x:c r="F187" s="23" t="n">
        <x:v>5000</x:v>
      </x:c>
      <x:c r="G187" s="23" t="n">
        <x:v>0</x:v>
      </x:c>
      <x:c r="H187" t="str">
        <x:v>COMPLETED</x:v>
      </x:c>
      <x:c r="I187" t="n">
        <x:f>IF(COUNTIF($A$2:A187,A187)&gt;1,1,0)</x:f>
        <x:v>0</x:v>
      </x:c>
      <x:c r="J187" t="n">
        <x:f>IF(OR(EXACT(H187,"COMPLETED"),EXACT(H187,"CANCELLED")),0,1)</x:f>
        <x:v>0</x:v>
      </x:c>
    </x:row>
    <x:row r="188">
      <x:c r="A188" t="str">
        <x:v>O00187</x:v>
      </x:c>
      <x:c r="B188" t="str">
        <x:v>2026-07-09 21:58:00</x:v>
      </x:c>
      <x:c r="C188" t="str">
        <x:v>S001</x:v>
      </x:c>
      <x:c r="D188" t="str">
        <x:v>P001</x:v>
      </x:c>
      <x:c r="E188" s="23" t="n">
        <x:v>1</x:v>
      </x:c>
      <x:c r="F188" s="23" t="n">
        <x:v>4500</x:v>
      </x:c>
      <x:c r="G188" s="23" t="n">
        <x:v>0</x:v>
      </x:c>
      <x:c r="H188" t="str">
        <x:v>COMPLETED</x:v>
      </x:c>
      <x:c r="I188" t="n">
        <x:f>IF(COUNTIF($A$2:A188,A188)&gt;1,1,0)</x:f>
        <x:v>0</x:v>
      </x:c>
      <x:c r="J188" t="n">
        <x:f>IF(OR(EXACT(H188,"COMPLETED"),EXACT(H188,"CANCELLED")),0,1)</x:f>
        <x:v>0</x:v>
      </x:c>
    </x:row>
    <x:row r="189">
      <x:c r="A189" t="str">
        <x:v>O00188</x:v>
      </x:c>
      <x:c r="B189" t="str">
        <x:v>2026-07-14 11:31:41</x:v>
      </x:c>
      <x:c r="C189" t="str">
        <x:v>S001</x:v>
      </x:c>
      <x:c r="D189" t="str">
        <x:v>P006</x:v>
      </x:c>
      <x:c r="E189" s="23" t="n">
        <x:v>1</x:v>
      </x:c>
      <x:c r="F189" s="23" t="n">
        <x:v>7500</x:v>
      </x:c>
      <x:c r="G189" s="23" t="n">
        <x:v>0</x:v>
      </x:c>
      <x:c r="H189" t="str">
        <x:v>COMPLETED</x:v>
      </x:c>
      <x:c r="I189" t="n">
        <x:f>IF(COUNTIF($A$2:A189,A189)&gt;1,1,0)</x:f>
        <x:v>0</x:v>
      </x:c>
      <x:c r="J189" t="n">
        <x:f>IF(OR(EXACT(H189,"COMPLETED"),EXACT(H189,"CANCELLED")),0,1)</x:f>
        <x:v>0</x:v>
      </x:c>
    </x:row>
    <x:row r="190">
      <x:c r="A190" t="str">
        <x:v>O00189</x:v>
      </x:c>
      <x:c r="B190" t="str">
        <x:v>2026-07-09 21:11:04</x:v>
      </x:c>
      <x:c r="C190" t="str">
        <x:v>S002</x:v>
      </x:c>
      <x:c r="D190" t="str">
        <x:v>P004</x:v>
      </x:c>
      <x:c r="E190" s="23" t="n">
        <x:v>3</x:v>
      </x:c>
      <x:c r="F190" s="23" t="n">
        <x:v>4800</x:v>
      </x:c>
      <x:c r="G190" s="23" t="n">
        <x:v>0</x:v>
      </x:c>
      <x:c r="H190" t="str">
        <x:v>COMPLETED</x:v>
      </x:c>
      <x:c r="I190" t="n">
        <x:f>IF(COUNTIF($A$2:A190,A190)&gt;1,1,0)</x:f>
        <x:v>0</x:v>
      </x:c>
      <x:c r="J190" t="n">
        <x:f>IF(OR(EXACT(H190,"COMPLETED"),EXACT(H190,"CANCELLED")),0,1)</x:f>
        <x:v>0</x:v>
      </x:c>
    </x:row>
    <x:row r="191">
      <x:c r="A191" t="str">
        <x:v>O00190</x:v>
      </x:c>
      <x:c r="B191" t="str">
        <x:v>2026-07-09 11:03:51</x:v>
      </x:c>
      <x:c r="C191" t="str">
        <x:v>S002</x:v>
      </x:c>
      <x:c r="D191" t="str">
        <x:v>P007</x:v>
      </x:c>
      <x:c r="E191" s="23" t="n">
        <x:v>1</x:v>
      </x:c>
      <x:c r="F191" s="23" t="n">
        <x:v>3000</x:v>
      </x:c>
      <x:c r="G191" s="23" t="n">
        <x:v>10</x:v>
      </x:c>
      <x:c r="H191" t="str">
        <x:v>COMPLETED</x:v>
      </x:c>
      <x:c r="I191" t="n">
        <x:f>IF(COUNTIF($A$2:A191,A191)&gt;1,1,0)</x:f>
        <x:v>0</x:v>
      </x:c>
      <x:c r="J191" t="n">
        <x:f>IF(OR(EXACT(H191,"COMPLETED"),EXACT(H191,"CANCELLED")),0,1)</x:f>
        <x:v>0</x:v>
      </x:c>
    </x:row>
    <x:row r="192">
      <x:c r="A192" t="str">
        <x:v>O00191</x:v>
      </x:c>
      <x:c r="B192" t="str">
        <x:v>2026-07-08 15:43:11</x:v>
      </x:c>
      <x:c r="C192" t="str">
        <x:v>S002</x:v>
      </x:c>
      <x:c r="D192" t="str">
        <x:v>P003</x:v>
      </x:c>
      <x:c r="E192" s="23" t="n">
        <x:v>1</x:v>
      </x:c>
      <x:c r="F192" s="23" t="n">
        <x:v>5500</x:v>
      </x:c>
      <x:c r="G192" s="23" t="n">
        <x:v>0</x:v>
      </x:c>
      <x:c r="H192" t="str">
        <x:v>COMPLETED</x:v>
      </x:c>
      <x:c r="I192" t="n">
        <x:f>IF(COUNTIF($A$2:A192,A192)&gt;1,1,0)</x:f>
        <x:v>0</x:v>
      </x:c>
      <x:c r="J192" t="n">
        <x:f>IF(OR(EXACT(H192,"COMPLETED"),EXACT(H192,"CANCELLED")),0,1)</x:f>
        <x:v>0</x:v>
      </x:c>
    </x:row>
    <x:row r="193">
      <x:c r="A193" t="str">
        <x:v>O00192</x:v>
      </x:c>
      <x:c r="B193" t="str">
        <x:v>2026-07-02 10:04:35</x:v>
      </x:c>
      <x:c r="C193" t="str">
        <x:v>S001</x:v>
      </x:c>
      <x:c r="D193" t="str">
        <x:v>P005</x:v>
      </x:c>
      <x:c r="E193" s="23" t="n">
        <x:v>1</x:v>
      </x:c>
      <x:c r="F193" s="23" t="n">
        <x:v>5500</x:v>
      </x:c>
      <x:c r="G193" s="23" t="n">
        <x:v>0</x:v>
      </x:c>
      <x:c r="H193" t="str">
        <x:v>COMPLETED</x:v>
      </x:c>
      <x:c r="I193" t="n">
        <x:f>IF(COUNTIF($A$2:A193,A193)&gt;1,1,0)</x:f>
        <x:v>0</x:v>
      </x:c>
      <x:c r="J193" t="n">
        <x:f>IF(OR(EXACT(H193,"COMPLETED"),EXACT(H193,"CANCELLED")),0,1)</x:f>
        <x:v>0</x:v>
      </x:c>
    </x:row>
    <x:row r="194">
      <x:c r="A194" t="str">
        <x:v>O00193</x:v>
      </x:c>
      <x:c r="B194" t="str">
        <x:v>2026-07-04 18:24:55</x:v>
      </x:c>
      <x:c r="C194" t="str">
        <x:v>S003</x:v>
      </x:c>
      <x:c r="D194" t="str">
        <x:v>P003</x:v>
      </x:c>
      <x:c r="E194" s="23" t="n">
        <x:v>3</x:v>
      </x:c>
      <x:c r="F194" s="23" t="n">
        <x:v>5500</x:v>
      </x:c>
      <x:c r="G194" s="23" t="n">
        <x:v>0</x:v>
      </x:c>
      <x:c r="H194" t="str">
        <x:v>COMPLETED</x:v>
      </x:c>
      <x:c r="I194" t="n">
        <x:f>IF(COUNTIF($A$2:A194,A194)&gt;1,1,0)</x:f>
        <x:v>0</x:v>
      </x:c>
      <x:c r="J194" t="n">
        <x:f>IF(OR(EXACT(H194,"COMPLETED"),EXACT(H194,"CANCELLED")),0,1)</x:f>
        <x:v>0</x:v>
      </x:c>
    </x:row>
    <x:row r="195">
      <x:c r="A195" t="str">
        <x:v>O00194</x:v>
      </x:c>
      <x:c r="B195" t="str">
        <x:v>2026-07-06 13:58:54</x:v>
      </x:c>
      <x:c r="C195" t="str">
        <x:v>S003</x:v>
      </x:c>
      <x:c r="D195" t="str">
        <x:v>P005</x:v>
      </x:c>
      <x:c r="E195" s="23" t="n">
        <x:v>1</x:v>
      </x:c>
      <x:c r="F195" s="23" t="n">
        <x:v>5500</x:v>
      </x:c>
      <x:c r="G195" s="23" t="n">
        <x:v>10</x:v>
      </x:c>
      <x:c r="H195" t="str">
        <x:v>COMPLETED</x:v>
      </x:c>
      <x:c r="I195" t="n">
        <x:f>IF(COUNTIF($A$2:A195,A195)&gt;1,1,0)</x:f>
        <x:v>0</x:v>
      </x:c>
      <x:c r="J195" t="n">
        <x:f>IF(OR(EXACT(H195,"COMPLETED"),EXACT(H195,"CANCELLED")),0,1)</x:f>
        <x:v>0</x:v>
      </x:c>
    </x:row>
    <x:row r="196">
      <x:c r="A196" t="str">
        <x:v>O00195</x:v>
      </x:c>
      <x:c r="B196" t="str">
        <x:v>2026-07-02 14:46:29</x:v>
      </x:c>
      <x:c r="C196" t="str">
        <x:v>S003</x:v>
      </x:c>
      <x:c r="D196" t="str">
        <x:v>P001</x:v>
      </x:c>
      <x:c r="E196" s="23" t="n">
        <x:v>2</x:v>
      </x:c>
      <x:c r="F196" s="23" t="n">
        <x:v>4500</x:v>
      </x:c>
      <x:c r="G196" s="23" t="n">
        <x:v>0</x:v>
      </x:c>
      <x:c r="H196" t="str">
        <x:v>COMPLETED</x:v>
      </x:c>
      <x:c r="I196" t="n">
        <x:f>IF(COUNTIF($A$2:A196,A196)&gt;1,1,0)</x:f>
        <x:v>0</x:v>
      </x:c>
      <x:c r="J196" t="n">
        <x:f>IF(OR(EXACT(H196,"COMPLETED"),EXACT(H196,"CANCELLED")),0,1)</x:f>
        <x:v>0</x:v>
      </x:c>
    </x:row>
    <x:row r="197">
      <x:c r="A197" t="str">
        <x:v>O00196</x:v>
      </x:c>
      <x:c r="B197" t="str">
        <x:v>2026-07-10 08:31:18</x:v>
      </x:c>
      <x:c r="C197" t="str">
        <x:v>S001</x:v>
      </x:c>
      <x:c r="D197" t="str">
        <x:v>P002</x:v>
      </x:c>
      <x:c r="E197" s="23" t="n">
        <x:v>1</x:v>
      </x:c>
      <x:c r="F197" s="23" t="n">
        <x:v>5000</x:v>
      </x:c>
      <x:c r="G197" s="23" t="n">
        <x:v>20</x:v>
      </x:c>
      <x:c r="H197" t="str">
        <x:v>COMPLETED</x:v>
      </x:c>
      <x:c r="I197" t="n">
        <x:f>IF(COUNTIF($A$2:A197,A197)&gt;1,1,0)</x:f>
        <x:v>0</x:v>
      </x:c>
      <x:c r="J197" t="n">
        <x:f>IF(OR(EXACT(H197,"COMPLETED"),EXACT(H197,"CANCELLED")),0,1)</x:f>
        <x:v>0</x:v>
      </x:c>
    </x:row>
    <x:row r="198">
      <x:c r="A198" t="str">
        <x:v>O00197</x:v>
      </x:c>
      <x:c r="B198" t="str">
        <x:v>2026-07-10 11:13:00</x:v>
      </x:c>
      <x:c r="C198" t="str">
        <x:v>S002</x:v>
      </x:c>
      <x:c r="D198" t="str">
        <x:v>P002</x:v>
      </x:c>
      <x:c r="E198" s="23" t="n">
        <x:v>2</x:v>
      </x:c>
      <x:c r="F198" s="23" t="n">
        <x:v>5000</x:v>
      </x:c>
      <x:c r="G198" s="23" t="n">
        <x:v>0</x:v>
      </x:c>
      <x:c r="H198" t="str">
        <x:v>COMPLETED</x:v>
      </x:c>
      <x:c r="I198" t="n">
        <x:f>IF(COUNTIF($A$2:A198,A198)&gt;1,1,0)</x:f>
        <x:v>0</x:v>
      </x:c>
      <x:c r="J198" t="n">
        <x:f>IF(OR(EXACT(H198,"COMPLETED"),EXACT(H198,"CANCELLED")),0,1)</x:f>
        <x:v>0</x:v>
      </x:c>
    </x:row>
    <x:row r="199">
      <x:c r="A199" t="str">
        <x:v>O00198</x:v>
      </x:c>
      <x:c r="B199" t="str">
        <x:v>2026-07-03 21:24:08</x:v>
      </x:c>
      <x:c r="C199" t="str">
        <x:v>S002</x:v>
      </x:c>
      <x:c r="D199" t="str">
        <x:v>P002</x:v>
      </x:c>
      <x:c r="E199" s="23" t="n">
        <x:v>1</x:v>
      </x:c>
      <x:c r="F199" s="23" t="n">
        <x:v>5000</x:v>
      </x:c>
      <x:c r="G199" s="23" t="n">
        <x:v>0</x:v>
      </x:c>
      <x:c r="H199" t="str">
        <x:v>COMPLETED</x:v>
      </x:c>
      <x:c r="I199" t="n">
        <x:f>IF(COUNTIF($A$2:A199,A199)&gt;1,1,0)</x:f>
        <x:v>0</x:v>
      </x:c>
      <x:c r="J199" t="n">
        <x:f>IF(OR(EXACT(H199,"COMPLETED"),EXACT(H199,"CANCELLED")),0,1)</x:f>
        <x:v>0</x:v>
      </x:c>
    </x:row>
    <x:row r="200">
      <x:c r="A200" t="str">
        <x:v>O00199</x:v>
      </x:c>
      <x:c r="B200" t="str">
        <x:v>2026-07-05 09:33:10</x:v>
      </x:c>
      <x:c r="C200" t="str">
        <x:v>S002</x:v>
      </x:c>
      <x:c r="D200" t="str">
        <x:v>P001</x:v>
      </x:c>
      <x:c r="E200" s="23" t="n">
        <x:v>1</x:v>
      </x:c>
      <x:c r="F200" s="23" t="n">
        <x:v>4500</x:v>
      </x:c>
      <x:c r="G200" s="23" t="n">
        <x:v>0</x:v>
      </x:c>
      <x:c r="H200" t="str">
        <x:v>COMPLETED</x:v>
      </x:c>
      <x:c r="I200" t="n">
        <x:f>IF(COUNTIF($A$2:A200,A200)&gt;1,1,0)</x:f>
        <x:v>0</x:v>
      </x:c>
      <x:c r="J200" t="n">
        <x:f>IF(OR(EXACT(H200,"COMPLETED"),EXACT(H200,"CANCELLED")),0,1)</x:f>
        <x:v>0</x:v>
      </x:c>
    </x:row>
    <x:row r="201">
      <x:c r="A201" t="str">
        <x:v>O00042</x:v>
      </x:c>
      <x:c r="B201" t="str">
        <x:v>2026-07-03 15:23:43</x:v>
      </x:c>
      <x:c r="C201" t="str">
        <x:v>S002</x:v>
      </x:c>
      <x:c r="D201" t="str">
        <x:v>P002</x:v>
      </x:c>
      <x:c r="E201" s="23" t="n">
        <x:v>1</x:v>
      </x:c>
      <x:c r="F201" s="23" t="n">
        <x:v>5000</x:v>
      </x:c>
      <x:c r="G201" s="23" t="n">
        <x:v>0</x:v>
      </x:c>
      <x:c r="H201" t="str">
        <x:v>COMPLETED</x:v>
      </x:c>
      <x:c r="I201" t="n">
        <x:f>IF(COUNTIF($A$2:A201,A201)&gt;1,1,0)</x:f>
        <x:v>1</x:v>
      </x:c>
      <x:c r="J201" t="n">
        <x:f>IF(OR(EXACT(H201,"COMPLETED"),EXACT(H201,"CANCELLED")),0,1)</x:f>
        <x:v>0</x:v>
      </x:c>
    </x:row>
    <x:row r="202">
      <x:c r="A202" t="str">
        <x:v>O00200</x:v>
      </x:c>
      <x:c r="B202" t="str">
        <x:v>2026-07-05 14:59:53</x:v>
      </x:c>
      <x:c r="C202" t="str">
        <x:v>S003</x:v>
      </x:c>
      <x:c r="D202" t="str">
        <x:v>P002</x:v>
      </x:c>
      <x:c r="E202" s="23" t="n">
        <x:v>1</x:v>
      </x:c>
      <x:c r="F202" s="23" t="n">
        <x:v>5000</x:v>
      </x:c>
      <x:c r="G202" s="23" t="n">
        <x:v>0</x:v>
      </x:c>
      <x:c r="H202" t="str">
        <x:v>COMPLETED</x:v>
      </x:c>
      <x:c r="I202" t="n">
        <x:f>IF(COUNTIF($A$2:A202,A202)&gt;1,1,0)</x:f>
        <x:v>0</x:v>
      </x:c>
      <x:c r="J202" t="n">
        <x:f>IF(OR(EXACT(H202,"COMPLETED"),EXACT(H202,"CANCELLED")),0,1)</x:f>
        <x:v>0</x:v>
      </x:c>
    </x:row>
    <x:row r="203">
      <x:c r="A203" t="str">
        <x:v>O00201</x:v>
      </x:c>
      <x:c r="B203" t="str">
        <x:v>2026-07-10 19:20:36</x:v>
      </x:c>
      <x:c r="C203" t="str">
        <x:v>S002</x:v>
      </x:c>
      <x:c r="D203" t="str">
        <x:v>P006</x:v>
      </x:c>
      <x:c r="E203" s="23" t="n">
        <x:v>1</x:v>
      </x:c>
      <x:c r="F203" s="23" t="n">
        <x:v>7500</x:v>
      </x:c>
      <x:c r="G203" s="23" t="n">
        <x:v>0</x:v>
      </x:c>
      <x:c r="H203" t="str">
        <x:v>COMPLETED</x:v>
      </x:c>
      <x:c r="I203" t="n">
        <x:f>IF(COUNTIF($A$2:A203,A203)&gt;1,1,0)</x:f>
        <x:v>0</x:v>
      </x:c>
      <x:c r="J203" t="n">
        <x:f>IF(OR(EXACT(H203,"COMPLETED"),EXACT(H203,"CANCELLED")),0,1)</x:f>
        <x:v>0</x:v>
      </x:c>
    </x:row>
    <x:row r="204">
      <x:c r="A204" t="str">
        <x:v>O00202</x:v>
      </x:c>
      <x:c r="B204" t="str">
        <x:v>2026-07-13 15:44:29</x:v>
      </x:c>
      <x:c r="C204" t="str">
        <x:v>S002</x:v>
      </x:c>
      <x:c r="D204" t="str">
        <x:v>P006</x:v>
      </x:c>
      <x:c r="E204" s="23" t="n">
        <x:v>1</x:v>
      </x:c>
      <x:c r="F204" s="23" t="n">
        <x:v>7500</x:v>
      </x:c>
      <x:c r="G204" s="23" t="n">
        <x:v>0</x:v>
      </x:c>
      <x:c r="H204" t="str">
        <x:v>COMPLETED</x:v>
      </x:c>
      <x:c r="I204" t="n">
        <x:f>IF(COUNTIF($A$2:A204,A204)&gt;1,1,0)</x:f>
        <x:v>0</x:v>
      </x:c>
      <x:c r="J204" t="n">
        <x:f>IF(OR(EXACT(H204,"COMPLETED"),EXACT(H204,"CANCELLED")),0,1)</x:f>
        <x:v>0</x:v>
      </x:c>
    </x:row>
    <x:row r="205">
      <x:c r="A205" t="str">
        <x:v>O00203</x:v>
      </x:c>
      <x:c r="B205" t="str">
        <x:v>2026-07-10 21:49:21</x:v>
      </x:c>
      <x:c r="C205" t="str">
        <x:v>S003</x:v>
      </x:c>
      <x:c r="D205" t="str">
        <x:v>P003</x:v>
      </x:c>
      <x:c r="E205" s="23" t="n">
        <x:v>2</x:v>
      </x:c>
      <x:c r="F205" s="23" t="n">
        <x:v>5500</x:v>
      </x:c>
      <x:c r="G205" s="23" t="n">
        <x:v>0</x:v>
      </x:c>
      <x:c r="H205" t="str">
        <x:v>COMPLETED</x:v>
      </x:c>
      <x:c r="I205" t="n">
        <x:f>IF(COUNTIF($A$2:A205,A205)&gt;1,1,0)</x:f>
        <x:v>0</x:v>
      </x:c>
      <x:c r="J205" t="n">
        <x:f>IF(OR(EXACT(H205,"COMPLETED"),EXACT(H205,"CANCELLED")),0,1)</x:f>
        <x:v>0</x:v>
      </x:c>
    </x:row>
    <x:row r="206">
      <x:c r="A206" t="str">
        <x:v>O00204</x:v>
      </x:c>
      <x:c r="B206" t="str">
        <x:v>2026-07-01 14:22:19</x:v>
      </x:c>
      <x:c r="C206" t="str">
        <x:v>S002</x:v>
      </x:c>
      <x:c r="D206" t="str">
        <x:v>P006</x:v>
      </x:c>
      <x:c r="E206" s="23" t="n">
        <x:v>1</x:v>
      </x:c>
      <x:c r="F206" s="23" t="n">
        <x:v>7500</x:v>
      </x:c>
      <x:c r="G206" s="23" t="n">
        <x:v>0</x:v>
      </x:c>
      <x:c r="H206" t="str">
        <x:v>COMPLETED</x:v>
      </x:c>
      <x:c r="I206" t="n">
        <x:f>IF(COUNTIF($A$2:A206,A206)&gt;1,1,0)</x:f>
        <x:v>0</x:v>
      </x:c>
      <x:c r="J206" t="n">
        <x:f>IF(OR(EXACT(H206,"COMPLETED"),EXACT(H206,"CANCELLED")),0,1)</x:f>
        <x:v>0</x:v>
      </x:c>
    </x:row>
    <x:row r="207">
      <x:c r="A207" t="str">
        <x:v>O00205</x:v>
      </x:c>
      <x:c r="B207" t="str">
        <x:v>2026-07-11 19:21:25</x:v>
      </x:c>
      <x:c r="C207" t="str">
        <x:v>S001</x:v>
      </x:c>
      <x:c r="D207" t="str">
        <x:v>P001</x:v>
      </x:c>
      <x:c r="E207" s="23" t="n">
        <x:v>1</x:v>
      </x:c>
      <x:c r="F207" s="23" t="n">
        <x:v>4500</x:v>
      </x:c>
      <x:c r="G207" s="23"/>
      <x:c r="H207" t="str">
        <x:v>COMPLETED</x:v>
      </x:c>
      <x:c r="I207" t="n">
        <x:f>IF(COUNTIF($A$2:A207,A207)&gt;1,1,0)</x:f>
        <x:v>0</x:v>
      </x:c>
      <x:c r="J207" t="n">
        <x:f>IF(OR(EXACT(H207,"COMPLETED"),EXACT(H207,"CANCELLED")),0,1)</x:f>
        <x:v>0</x:v>
      </x:c>
    </x:row>
    <x:row r="208">
      <x:c r="A208" t="str">
        <x:v>O00206</x:v>
      </x:c>
      <x:c r="B208" t="str">
        <x:v>2026-07-05 14:35:08</x:v>
      </x:c>
      <x:c r="C208" t="str">
        <x:v>S002</x:v>
      </x:c>
      <x:c r="D208" t="str">
        <x:v>P001</x:v>
      </x:c>
      <x:c r="E208" s="23" t="n">
        <x:v>1</x:v>
      </x:c>
      <x:c r="F208" s="23" t="n">
        <x:v>4500</x:v>
      </x:c>
      <x:c r="G208" s="23" t="n">
        <x:v>10</x:v>
      </x:c>
      <x:c r="H208" t="str">
        <x:v>COMPLETED</x:v>
      </x:c>
      <x:c r="I208" t="n">
        <x:f>IF(COUNTIF($A$2:A208,A208)&gt;1,1,0)</x:f>
        <x:v>0</x:v>
      </x:c>
      <x:c r="J208" t="n">
        <x:f>IF(OR(EXACT(H208,"COMPLETED"),EXACT(H208,"CANCELLED")),0,1)</x:f>
        <x:v>0</x:v>
      </x:c>
    </x:row>
    <x:row r="209">
      <x:c r="A209" t="str">
        <x:v>O00207</x:v>
      </x:c>
      <x:c r="B209" t="str">
        <x:v>2026-07-13 18:26:27</x:v>
      </x:c>
      <x:c r="C209" t="str">
        <x:v>S001</x:v>
      </x:c>
      <x:c r="D209" t="str">
        <x:v>P007</x:v>
      </x:c>
      <x:c r="E209" s="23" t="n">
        <x:v>2</x:v>
      </x:c>
      <x:c r="F209" s="23" t="n">
        <x:v>3000</x:v>
      </x:c>
      <x:c r="G209" s="23" t="n">
        <x:v>20</x:v>
      </x:c>
      <x:c r="H209" t="str">
        <x:v>CANCELLED</x:v>
      </x:c>
      <x:c r="I209" t="n">
        <x:f>IF(COUNTIF($A$2:A209,A209)&gt;1,1,0)</x:f>
        <x:v>0</x:v>
      </x:c>
      <x:c r="J209" t="n">
        <x:f>IF(OR(EXACT(H209,"COMPLETED"),EXACT(H209,"CANCELLED")),0,1)</x:f>
        <x:v>0</x:v>
      </x:c>
    </x:row>
    <x:row r="210">
      <x:c r="A210" t="str">
        <x:v>O00208</x:v>
      </x:c>
      <x:c r="B210" t="str">
        <x:v>2026-07-10 12:22:28</x:v>
      </x:c>
      <x:c r="C210" t="str">
        <x:v>S002</x:v>
      </x:c>
      <x:c r="D210" t="str">
        <x:v>P006</x:v>
      </x:c>
      <x:c r="E210" s="23" t="n">
        <x:v>1</x:v>
      </x:c>
      <x:c r="F210" s="23" t="n">
        <x:v>7500</x:v>
      </x:c>
      <x:c r="G210" s="23" t="n">
        <x:v>10</x:v>
      </x:c>
      <x:c r="H210" t="str">
        <x:v>COMPLETED</x:v>
      </x:c>
      <x:c r="I210" t="n">
        <x:f>IF(COUNTIF($A$2:A210,A210)&gt;1,1,0)</x:f>
        <x:v>0</x:v>
      </x:c>
      <x:c r="J210" t="n">
        <x:f>IF(OR(EXACT(H210,"COMPLETED"),EXACT(H210,"CANCELLED")),0,1)</x:f>
        <x:v>0</x:v>
      </x:c>
    </x:row>
    <x:row r="211">
      <x:c r="A211" t="str">
        <x:v>O00209</x:v>
      </x:c>
      <x:c r="B211" t="str">
        <x:v>2026-07-04 15:26:44</x:v>
      </x:c>
      <x:c r="C211" t="str">
        <x:v>S003</x:v>
      </x:c>
      <x:c r="D211" t="str">
        <x:v>P001</x:v>
      </x:c>
      <x:c r="E211" s="23" t="n">
        <x:v>3</x:v>
      </x:c>
      <x:c r="F211" s="23" t="n">
        <x:v>4500</x:v>
      </x:c>
      <x:c r="G211" s="23" t="n">
        <x:v>0</x:v>
      </x:c>
      <x:c r="H211" t="str">
        <x:v>COMPLETED</x:v>
      </x:c>
      <x:c r="I211" t="n">
        <x:f>IF(COUNTIF($A$2:A211,A211)&gt;1,1,0)</x:f>
        <x:v>0</x:v>
      </x:c>
      <x:c r="J211" t="n">
        <x:f>IF(OR(EXACT(H211,"COMPLETED"),EXACT(H211,"CANCELLED")),0,1)</x:f>
        <x:v>0</x:v>
      </x:c>
    </x:row>
    <x:row r="212">
      <x:c r="A212" t="str">
        <x:v>O00210</x:v>
      </x:c>
      <x:c r="B212" t="str">
        <x:v>2026-07-06 14:24:11</x:v>
      </x:c>
      <x:c r="C212" t="str">
        <x:v>S002</x:v>
      </x:c>
      <x:c r="D212" t="str">
        <x:v>P003</x:v>
      </x:c>
      <x:c r="E212" s="23" t="n">
        <x:v>2</x:v>
      </x:c>
      <x:c r="F212" s="23" t="n">
        <x:v>5500</x:v>
      </x:c>
      <x:c r="G212" s="23" t="n">
        <x:v>0</x:v>
      </x:c>
      <x:c r="H212" t="str">
        <x:v>COMPLETED</x:v>
      </x:c>
      <x:c r="I212" t="n">
        <x:f>IF(COUNTIF($A$2:A212,A212)&gt;1,1,0)</x:f>
        <x:v>0</x:v>
      </x:c>
      <x:c r="J212" t="n">
        <x:f>IF(OR(EXACT(H212,"COMPLETED"),EXACT(H212,"CANCELLED")),0,1)</x:f>
        <x:v>0</x:v>
      </x:c>
    </x:row>
    <x:row r="213">
      <x:c r="A213" t="str">
        <x:v>O00211</x:v>
      </x:c>
      <x:c r="B213" t="str">
        <x:v>2026-07-10 09:56:42</x:v>
      </x:c>
      <x:c r="C213" t="str">
        <x:v>S002</x:v>
      </x:c>
      <x:c r="D213" t="str">
        <x:v>P001</x:v>
      </x:c>
      <x:c r="E213" s="23" t="n">
        <x:v>1</x:v>
      </x:c>
      <x:c r="F213" s="23" t="n">
        <x:v>4500</x:v>
      </x:c>
      <x:c r="G213" s="23" t="n">
        <x:v>20</x:v>
      </x:c>
      <x:c r="H213" t="str">
        <x:v>CANCELLED</x:v>
      </x:c>
      <x:c r="I213" t="n">
        <x:f>IF(COUNTIF($A$2:A213,A213)&gt;1,1,0)</x:f>
        <x:v>0</x:v>
      </x:c>
      <x:c r="J213" t="n">
        <x:f>IF(OR(EXACT(H213,"COMPLETED"),EXACT(H213,"CANCELLED")),0,1)</x:f>
        <x:v>0</x:v>
      </x:c>
    </x:row>
    <x:row r="214">
      <x:c r="A214" t="str">
        <x:v>O00212</x:v>
      </x:c>
      <x:c r="B214" t="str">
        <x:v>2026-07-13 09:35:57</x:v>
      </x:c>
      <x:c r="C214" t="str">
        <x:v>S002</x:v>
      </x:c>
      <x:c r="D214" t="str">
        <x:v>P003</x:v>
      </x:c>
      <x:c r="E214" s="23" t="n">
        <x:v>2</x:v>
      </x:c>
      <x:c r="F214" s="23" t="n">
        <x:v>5500</x:v>
      </x:c>
      <x:c r="G214" s="23" t="n">
        <x:v>0</x:v>
      </x:c>
      <x:c r="H214" t="str">
        <x:v>COMPLETED</x:v>
      </x:c>
      <x:c r="I214" t="n">
        <x:f>IF(COUNTIF($A$2:A214,A214)&gt;1,1,0)</x:f>
        <x:v>0</x:v>
      </x:c>
      <x:c r="J214" t="n">
        <x:f>IF(OR(EXACT(H214,"COMPLETED"),EXACT(H214,"CANCELLED")),0,1)</x:f>
        <x:v>0</x:v>
      </x:c>
    </x:row>
    <x:row r="215">
      <x:c r="A215" t="str">
        <x:v>O00213</x:v>
      </x:c>
      <x:c r="B215" t="str">
        <x:v>2026-07-03 20:21:26</x:v>
      </x:c>
      <x:c r="C215" t="str">
        <x:v>S002</x:v>
      </x:c>
      <x:c r="D215" t="str">
        <x:v>P001</x:v>
      </x:c>
      <x:c r="E215" s="23" t="n">
        <x:v>1</x:v>
      </x:c>
      <x:c r="F215" s="23" t="n">
        <x:v>4500</x:v>
      </x:c>
      <x:c r="G215" s="23" t="n">
        <x:v>0</x:v>
      </x:c>
      <x:c r="H215" t="str">
        <x:v>COMPLETED</x:v>
      </x:c>
      <x:c r="I215" t="n">
        <x:f>IF(COUNTIF($A$2:A215,A215)&gt;1,1,0)</x:f>
        <x:v>0</x:v>
      </x:c>
      <x:c r="J215" t="n">
        <x:f>IF(OR(EXACT(H215,"COMPLETED"),EXACT(H215,"CANCELLED")),0,1)</x:f>
        <x:v>0</x:v>
      </x:c>
    </x:row>
    <x:row r="216">
      <x:c r="A216" t="str">
        <x:v>O00214</x:v>
      </x:c>
      <x:c r="B216" t="str">
        <x:v>2026-07-04 08:43:36</x:v>
      </x:c>
      <x:c r="C216" t="str">
        <x:v>S002</x:v>
      </x:c>
      <x:c r="D216" t="str">
        <x:v>P002</x:v>
      </x:c>
      <x:c r="E216" s="23" t="n">
        <x:v>1</x:v>
      </x:c>
      <x:c r="F216" s="23" t="n">
        <x:v>5000</x:v>
      </x:c>
      <x:c r="G216" s="23" t="n">
        <x:v>20</x:v>
      </x:c>
      <x:c r="H216" t="str">
        <x:v>COMPLETED</x:v>
      </x:c>
      <x:c r="I216" t="n">
        <x:f>IF(COUNTIF($A$2:A216,A216)&gt;1,1,0)</x:f>
        <x:v>0</x:v>
      </x:c>
      <x:c r="J216" t="n">
        <x:f>IF(OR(EXACT(H216,"COMPLETED"),EXACT(H216,"CANCELLED")),0,1)</x:f>
        <x:v>0</x:v>
      </x:c>
    </x:row>
    <x:row r="217">
      <x:c r="A217" t="str">
        <x:v>O00215</x:v>
      </x:c>
      <x:c r="B217" t="str">
        <x:v>2026-07-06 12:28:19</x:v>
      </x:c>
      <x:c r="C217" t="str">
        <x:v>S002</x:v>
      </x:c>
      <x:c r="D217" t="str">
        <x:v>P001</x:v>
      </x:c>
      <x:c r="E217" s="23" t="n">
        <x:v>1</x:v>
      </x:c>
      <x:c r="F217" s="23" t="n">
        <x:v>4500</x:v>
      </x:c>
      <x:c r="G217" s="23" t="n">
        <x:v>0</x:v>
      </x:c>
      <x:c r="H217" t="str">
        <x:v>completed</x:v>
      </x:c>
      <x:c r="I217" t="n">
        <x:f>IF(COUNTIF($A$2:A217,A217)&gt;1,1,0)</x:f>
        <x:v>0</x:v>
      </x:c>
      <x:c r="J217" t="n">
        <x:f>IF(OR(EXACT(H217,"COMPLETED"),EXACT(H217,"CANCELLED")),0,1)</x:f>
        <x:v>1</x:v>
      </x:c>
    </x:row>
    <x:row r="218">
      <x:c r="A218" t="str">
        <x:v>O00216</x:v>
      </x:c>
      <x:c r="B218" t="str">
        <x:v>2026-07-12 15:49:01</x:v>
      </x:c>
      <x:c r="C218" t="str">
        <x:v>S003</x:v>
      </x:c>
      <x:c r="D218" t="str">
        <x:v>P007</x:v>
      </x:c>
      <x:c r="E218" s="23" t="n">
        <x:v>1</x:v>
      </x:c>
      <x:c r="F218" s="23" t="n">
        <x:v>3000</x:v>
      </x:c>
      <x:c r="G218" s="23" t="n">
        <x:v>0</x:v>
      </x:c>
      <x:c r="H218" t="str">
        <x:v>COMPLETED</x:v>
      </x:c>
      <x:c r="I218" t="n">
        <x:f>IF(COUNTIF($A$2:A218,A218)&gt;1,1,0)</x:f>
        <x:v>0</x:v>
      </x:c>
      <x:c r="J218" t="n">
        <x:f>IF(OR(EXACT(H218,"COMPLETED"),EXACT(H218,"CANCELLED")),0,1)</x:f>
        <x:v>0</x:v>
      </x:c>
    </x:row>
    <x:row r="219">
      <x:c r="A219" t="str">
        <x:v>O00217</x:v>
      </x:c>
      <x:c r="B219" t="str">
        <x:v>2026-07-03 21:01:41</x:v>
      </x:c>
      <x:c r="C219" t="str">
        <x:v>S001</x:v>
      </x:c>
      <x:c r="D219" t="str">
        <x:v>P001</x:v>
      </x:c>
      <x:c r="E219" s="23" t="n">
        <x:v>1</x:v>
      </x:c>
      <x:c r="F219" s="23" t="n">
        <x:v>4500</x:v>
      </x:c>
      <x:c r="G219" s="23" t="n">
        <x:v>0</x:v>
      </x:c>
      <x:c r="H219" t="str">
        <x:v>COMPLETED</x:v>
      </x:c>
      <x:c r="I219" t="n">
        <x:f>IF(COUNTIF($A$2:A219,A219)&gt;1,1,0)</x:f>
        <x:v>0</x:v>
      </x:c>
      <x:c r="J219" t="n">
        <x:f>IF(OR(EXACT(H219,"COMPLETED"),EXACT(H219,"CANCELLED")),0,1)</x:f>
        <x:v>0</x:v>
      </x:c>
    </x:row>
    <x:row r="220">
      <x:c r="A220" t="str">
        <x:v>O00218</x:v>
      </x:c>
      <x:c r="B220" t="str">
        <x:v>2026-07-02 10:35:40</x:v>
      </x:c>
      <x:c r="C220" t="str">
        <x:v>S002</x:v>
      </x:c>
      <x:c r="D220" t="str">
        <x:v>P001</x:v>
      </x:c>
      <x:c r="E220" s="23" t="n">
        <x:v>2</x:v>
      </x:c>
      <x:c r="F220" s="23" t="n">
        <x:v>4500</x:v>
      </x:c>
      <x:c r="G220" s="23" t="n">
        <x:v>0</x:v>
      </x:c>
      <x:c r="H220" t="str">
        <x:v>COMPLETED</x:v>
      </x:c>
      <x:c r="I220" t="n">
        <x:f>IF(COUNTIF($A$2:A220,A220)&gt;1,1,0)</x:f>
        <x:v>0</x:v>
      </x:c>
      <x:c r="J220" t="n">
        <x:f>IF(OR(EXACT(H220,"COMPLETED"),EXACT(H220,"CANCELLED")),0,1)</x:f>
        <x:v>0</x:v>
      </x:c>
    </x:row>
    <x:row r="221">
      <x:c r="A221" t="str">
        <x:v>O00219</x:v>
      </x:c>
      <x:c r="B221" t="str">
        <x:v>2026-07-01 21:11:53</x:v>
      </x:c>
      <x:c r="C221" t="str">
        <x:v>S001</x:v>
      </x:c>
      <x:c r="D221" t="str">
        <x:v>P002</x:v>
      </x:c>
      <x:c r="E221" s="23" t="n">
        <x:v>1</x:v>
      </x:c>
      <x:c r="F221" s="23" t="n">
        <x:v>5000</x:v>
      </x:c>
      <x:c r="G221" s="23" t="n">
        <x:v>0</x:v>
      </x:c>
      <x:c r="H221" t="str">
        <x:v>COMPLETED</x:v>
      </x:c>
      <x:c r="I221" t="n">
        <x:f>IF(COUNTIF($A$2:A221,A221)&gt;1,1,0)</x:f>
        <x:v>0</x:v>
      </x:c>
      <x:c r="J221" t="n">
        <x:f>IF(OR(EXACT(H221,"COMPLETED"),EXACT(H221,"CANCELLED")),0,1)</x:f>
        <x:v>0</x:v>
      </x:c>
    </x:row>
    <x:row r="222">
      <x:c r="A222" t="str">
        <x:v>O00220</x:v>
      </x:c>
      <x:c r="B222" t="str">
        <x:v>2026-07-03 19:32:19</x:v>
      </x:c>
      <x:c r="C222" t="str">
        <x:v>S001</x:v>
      </x:c>
      <x:c r="D222" t="str">
        <x:v>P004</x:v>
      </x:c>
      <x:c r="E222" s="23" t="n">
        <x:v>3</x:v>
      </x:c>
      <x:c r="F222" s="23" t="n">
        <x:v>4800</x:v>
      </x:c>
      <x:c r="G222" s="23" t="n">
        <x:v>0</x:v>
      </x:c>
      <x:c r="H222" t="str">
        <x:v>COMPLETED</x:v>
      </x:c>
      <x:c r="I222" t="n">
        <x:f>IF(COUNTIF($A$2:A222,A222)&gt;1,1,0)</x:f>
        <x:v>0</x:v>
      </x:c>
      <x:c r="J222" t="n">
        <x:f>IF(OR(EXACT(H222,"COMPLETED"),EXACT(H222,"CANCELLED")),0,1)</x:f>
        <x:v>0</x:v>
      </x:c>
    </x:row>
    <x:row r="223">
      <x:c r="A223" t="str">
        <x:v>O00221</x:v>
      </x:c>
      <x:c r="B223" t="str">
        <x:v>2026-07-02 12:31:35</x:v>
      </x:c>
      <x:c r="C223" t="str">
        <x:v>S001</x:v>
      </x:c>
      <x:c r="D223" t="str">
        <x:v>P001</x:v>
      </x:c>
      <x:c r="E223" s="23" t="n">
        <x:v>1</x:v>
      </x:c>
      <x:c r="F223" s="23" t="n">
        <x:v>4500</x:v>
      </x:c>
      <x:c r="G223" s="23" t="n">
        <x:v>0</x:v>
      </x:c>
      <x:c r="H223" t="str">
        <x:v>COMPLETED</x:v>
      </x:c>
      <x:c r="I223" t="n">
        <x:f>IF(COUNTIF($A$2:A223,A223)&gt;1,1,0)</x:f>
        <x:v>0</x:v>
      </x:c>
      <x:c r="J223" t="n">
        <x:f>IF(OR(EXACT(H223,"COMPLETED"),EXACT(H223,"CANCELLED")),0,1)</x:f>
        <x:v>0</x:v>
      </x:c>
    </x:row>
    <x:row r="224">
      <x:c r="A224" t="str">
        <x:v>O00222</x:v>
      </x:c>
      <x:c r="B224" t="str">
        <x:v>2026-07-05 08:24:46</x:v>
      </x:c>
      <x:c r="C224" t="str">
        <x:v>S003</x:v>
      </x:c>
      <x:c r="D224" t="str">
        <x:v>P007</x:v>
      </x:c>
      <x:c r="E224" s="23" t="n">
        <x:v>1</x:v>
      </x:c>
      <x:c r="F224" s="23" t="n">
        <x:v>3000</x:v>
      </x:c>
      <x:c r="G224" s="23" t="n">
        <x:v>20</x:v>
      </x:c>
      <x:c r="H224" t="str">
        <x:v>COMPLETED</x:v>
      </x:c>
      <x:c r="I224" t="n">
        <x:f>IF(COUNTIF($A$2:A224,A224)&gt;1,1,0)</x:f>
        <x:v>0</x:v>
      </x:c>
      <x:c r="J224" t="n">
        <x:f>IF(OR(EXACT(H224,"COMPLETED"),EXACT(H224,"CANCELLED")),0,1)</x:f>
        <x:v>0</x:v>
      </x:c>
    </x:row>
    <x:row r="225">
      <x:c r="A225" t="str">
        <x:v>O00223</x:v>
      </x:c>
      <x:c r="B225" t="str">
        <x:v>2026-07-09 10:11:02</x:v>
      </x:c>
      <x:c r="C225" t="str">
        <x:v>S001</x:v>
      </x:c>
      <x:c r="D225" t="str">
        <x:v>P005</x:v>
      </x:c>
      <x:c r="E225" s="23" t="n">
        <x:v>1</x:v>
      </x:c>
      <x:c r="F225" s="23" t="n">
        <x:v>5500</x:v>
      </x:c>
      <x:c r="G225" s="23" t="n">
        <x:v>0</x:v>
      </x:c>
      <x:c r="H225" t="str">
        <x:v>CANCELLED</x:v>
      </x:c>
      <x:c r="I225" t="n">
        <x:f>IF(COUNTIF($A$2:A225,A225)&gt;1,1,0)</x:f>
        <x:v>0</x:v>
      </x:c>
      <x:c r="J225" t="n">
        <x:f>IF(OR(EXACT(H225,"COMPLETED"),EXACT(H225,"CANCELLED")),0,1)</x:f>
        <x:v>0</x:v>
      </x:c>
    </x:row>
    <x:row r="226">
      <x:c r="A226" t="str">
        <x:v>O00224</x:v>
      </x:c>
      <x:c r="B226" t="str">
        <x:v>2026-07-01 15:12:26</x:v>
      </x:c>
      <x:c r="C226" t="str">
        <x:v>S002</x:v>
      </x:c>
      <x:c r="D226" t="str">
        <x:v>P007</x:v>
      </x:c>
      <x:c r="E226" s="23" t="n">
        <x:v>1</x:v>
      </x:c>
      <x:c r="F226" s="23" t="n">
        <x:v>3000</x:v>
      </x:c>
      <x:c r="G226" s="23" t="n">
        <x:v>0</x:v>
      </x:c>
      <x:c r="H226" t="str">
        <x:v>COMPLETED</x:v>
      </x:c>
      <x:c r="I226" t="n">
        <x:f>IF(COUNTIF($A$2:A226,A226)&gt;1,1,0)</x:f>
        <x:v>0</x:v>
      </x:c>
      <x:c r="J226" t="n">
        <x:f>IF(OR(EXACT(H226,"COMPLETED"),EXACT(H226,"CANCELLED")),0,1)</x:f>
        <x:v>0</x:v>
      </x:c>
    </x:row>
    <x:row r="227">
      <x:c r="A227" t="str">
        <x:v>O00225</x:v>
      </x:c>
      <x:c r="B227" t="str">
        <x:v>2026-07-03 16:26:25</x:v>
      </x:c>
      <x:c r="C227" t="str">
        <x:v>S003</x:v>
      </x:c>
      <x:c r="D227" t="str">
        <x:v>P004</x:v>
      </x:c>
      <x:c r="E227" s="23" t="n">
        <x:v>2</x:v>
      </x:c>
      <x:c r="F227" s="23" t="n">
        <x:v>4800</x:v>
      </x:c>
      <x:c r="G227" s="23" t="n">
        <x:v>10</x:v>
      </x:c>
      <x:c r="H227" t="str">
        <x:v>COMPLETED</x:v>
      </x:c>
      <x:c r="I227" t="n">
        <x:f>IF(COUNTIF($A$2:A227,A227)&gt;1,1,0)</x:f>
        <x:v>0</x:v>
      </x:c>
      <x:c r="J227" t="n">
        <x:f>IF(OR(EXACT(H227,"COMPLETED"),EXACT(H227,"CANCELLED")),0,1)</x:f>
        <x:v>0</x:v>
      </x:c>
    </x:row>
    <x:row r="228">
      <x:c r="A228" t="str">
        <x:v>O00226</x:v>
      </x:c>
      <x:c r="B228" t="str">
        <x:v>2026-07-11 12:11:10</x:v>
      </x:c>
      <x:c r="C228" t="str">
        <x:v>S003</x:v>
      </x:c>
      <x:c r="D228" t="str">
        <x:v>P007</x:v>
      </x:c>
      <x:c r="E228" s="23" t="n">
        <x:v>2</x:v>
      </x:c>
      <x:c r="F228" s="23" t="n">
        <x:v>3000</x:v>
      </x:c>
      <x:c r="G228" s="23" t="n">
        <x:v>0</x:v>
      </x:c>
      <x:c r="H228" t="str">
        <x:v>COMPLETED</x:v>
      </x:c>
      <x:c r="I228" t="n">
        <x:f>IF(COUNTIF($A$2:A228,A228)&gt;1,1,0)</x:f>
        <x:v>0</x:v>
      </x:c>
      <x:c r="J228" t="n">
        <x:f>IF(OR(EXACT(H228,"COMPLETED"),EXACT(H228,"CANCELLED")),0,1)</x:f>
        <x:v>0</x:v>
      </x:c>
    </x:row>
    <x:row r="229">
      <x:c r="A229" t="str">
        <x:v>O00227</x:v>
      </x:c>
      <x:c r="B229" t="str">
        <x:v>2026-07-14 21:10:21</x:v>
      </x:c>
      <x:c r="C229" t="str">
        <x:v>S003</x:v>
      </x:c>
      <x:c r="D229" t="str">
        <x:v>P001</x:v>
      </x:c>
      <x:c r="E229" s="23" t="n">
        <x:v>1</x:v>
      </x:c>
      <x:c r="F229" s="23" t="n">
        <x:v>4500</x:v>
      </x:c>
      <x:c r="G229" s="23" t="n">
        <x:v>10</x:v>
      </x:c>
      <x:c r="H229" t="str">
        <x:v>COMPLETED</x:v>
      </x:c>
      <x:c r="I229" t="n">
        <x:f>IF(COUNTIF($A$2:A229,A229)&gt;1,1,0)</x:f>
        <x:v>0</x:v>
      </x:c>
      <x:c r="J229" t="n">
        <x:f>IF(OR(EXACT(H229,"COMPLETED"),EXACT(H229,"CANCELLED")),0,1)</x:f>
        <x:v>0</x:v>
      </x:c>
    </x:row>
    <x:row r="230">
      <x:c r="A230" t="str">
        <x:v>O00228</x:v>
      </x:c>
      <x:c r="B230" t="str">
        <x:v>2026-07-04 11:46:47</x:v>
      </x:c>
      <x:c r="C230" t="str">
        <x:v>S002</x:v>
      </x:c>
      <x:c r="D230" t="str">
        <x:v>P003</x:v>
      </x:c>
      <x:c r="E230" s="23" t="n">
        <x:v>2</x:v>
      </x:c>
      <x:c r="F230" s="23" t="n">
        <x:v>5500</x:v>
      </x:c>
      <x:c r="G230" s="23" t="n">
        <x:v>0</x:v>
      </x:c>
      <x:c r="H230" t="str">
        <x:v>COMPLETED</x:v>
      </x:c>
      <x:c r="I230" t="n">
        <x:f>IF(COUNTIF($A$2:A230,A230)&gt;1,1,0)</x:f>
        <x:v>0</x:v>
      </x:c>
      <x:c r="J230" t="n">
        <x:f>IF(OR(EXACT(H230,"COMPLETED"),EXACT(H230,"CANCELLED")),0,1)</x:f>
        <x:v>0</x:v>
      </x:c>
    </x:row>
    <x:row r="231">
      <x:c r="A231" t="str">
        <x:v>O00229</x:v>
      </x:c>
      <x:c r="B231" t="str">
        <x:v>2026-07-11 21:37:08</x:v>
      </x:c>
      <x:c r="C231" t="str">
        <x:v>S001</x:v>
      </x:c>
      <x:c r="D231" t="str">
        <x:v>P001</x:v>
      </x:c>
      <x:c r="E231" s="23" t="n">
        <x:v>1</x:v>
      </x:c>
      <x:c r="F231" s="23" t="n">
        <x:v>4500</x:v>
      </x:c>
      <x:c r="G231" s="23" t="n">
        <x:v>0</x:v>
      </x:c>
      <x:c r="H231" t="str">
        <x:v>COMPLETED</x:v>
      </x:c>
      <x:c r="I231" t="n">
        <x:f>IF(COUNTIF($A$2:A231,A231)&gt;1,1,0)</x:f>
        <x:v>0</x:v>
      </x:c>
      <x:c r="J231" t="n">
        <x:f>IF(OR(EXACT(H231,"COMPLETED"),EXACT(H231,"CANCELLED")),0,1)</x:f>
        <x:v>0</x:v>
      </x:c>
    </x:row>
    <x:row r="232">
      <x:c r="A232" t="str">
        <x:v>O00230</x:v>
      </x:c>
      <x:c r="B232" t="str">
        <x:v>2026-07-14 08:03:20</x:v>
      </x:c>
      <x:c r="C232" t="str">
        <x:v>S002</x:v>
      </x:c>
      <x:c r="D232" t="str">
        <x:v>P006</x:v>
      </x:c>
      <x:c r="E232" s="23" t="n">
        <x:v>1</x:v>
      </x:c>
      <x:c r="F232" s="23" t="n">
        <x:v>7500</x:v>
      </x:c>
      <x:c r="G232" s="23" t="n">
        <x:v>30</x:v>
      </x:c>
      <x:c r="H232" t="str">
        <x:v>CANCELLED</x:v>
      </x:c>
      <x:c r="I232" t="n">
        <x:f>IF(COUNTIF($A$2:A232,A232)&gt;1,1,0)</x:f>
        <x:v>0</x:v>
      </x:c>
      <x:c r="J232" t="n">
        <x:f>IF(OR(EXACT(H232,"COMPLETED"),EXACT(H232,"CANCELLED")),0,1)</x:f>
        <x:v>0</x:v>
      </x:c>
    </x:row>
    <x:row r="233">
      <x:c r="A233" t="str">
        <x:v>O00231</x:v>
      </x:c>
      <x:c r="B233" t="str">
        <x:v>2026-07-05 10:42:58</x:v>
      </x:c>
      <x:c r="C233" t="str">
        <x:v>S001</x:v>
      </x:c>
      <x:c r="D233" t="str">
        <x:v>P006</x:v>
      </x:c>
      <x:c r="E233" s="23" t="n">
        <x:v>2</x:v>
      </x:c>
      <x:c r="F233" s="23" t="n">
        <x:v>7500</x:v>
      </x:c>
      <x:c r="G233" s="23" t="n">
        <x:v>0</x:v>
      </x:c>
      <x:c r="H233" t="str">
        <x:v>COMPLETED</x:v>
      </x:c>
      <x:c r="I233" t="n">
        <x:f>IF(COUNTIF($A$2:A233,A233)&gt;1,1,0)</x:f>
        <x:v>0</x:v>
      </x:c>
      <x:c r="J233" t="n">
        <x:f>IF(OR(EXACT(H233,"COMPLETED"),EXACT(H233,"CANCELLED")),0,1)</x:f>
        <x:v>0</x:v>
      </x:c>
    </x:row>
    <x:row r="234">
      <x:c r="A234" t="str">
        <x:v>O00232</x:v>
      </x:c>
      <x:c r="B234" t="str">
        <x:v>2026-07-09 12:38:27</x:v>
      </x:c>
      <x:c r="C234" t="str">
        <x:v>S001</x:v>
      </x:c>
      <x:c r="D234" t="str">
        <x:v>P001</x:v>
      </x:c>
      <x:c r="E234" s="23" t="n">
        <x:v>1</x:v>
      </x:c>
      <x:c r="F234" s="23" t="n">
        <x:v>4500</x:v>
      </x:c>
      <x:c r="G234" s="23" t="n">
        <x:v>0</x:v>
      </x:c>
      <x:c r="H234" t="str">
        <x:v>COMPLETED</x:v>
      </x:c>
      <x:c r="I234" t="n">
        <x:f>IF(COUNTIF($A$2:A234,A234)&gt;1,1,0)</x:f>
        <x:v>0</x:v>
      </x:c>
      <x:c r="J234" t="n">
        <x:f>IF(OR(EXACT(H234,"COMPLETED"),EXACT(H234,"CANCELLED")),0,1)</x:f>
        <x:v>0</x:v>
      </x:c>
    </x:row>
    <x:row r="235">
      <x:c r="A235" t="str">
        <x:v>O00233</x:v>
      </x:c>
      <x:c r="B235" t="str">
        <x:v>2026-07-03 10:33:27</x:v>
      </x:c>
      <x:c r="C235" t="str">
        <x:v>S001</x:v>
      </x:c>
      <x:c r="D235" t="str">
        <x:v>P004</x:v>
      </x:c>
      <x:c r="E235" s="23" t="n">
        <x:v>3</x:v>
      </x:c>
      <x:c r="F235" s="23" t="n">
        <x:v>4800</x:v>
      </x:c>
      <x:c r="G235" s="23" t="n">
        <x:v>0</x:v>
      </x:c>
      <x:c r="H235" t="str">
        <x:v>CANCELLED</x:v>
      </x:c>
      <x:c r="I235" t="n">
        <x:f>IF(COUNTIF($A$2:A235,A235)&gt;1,1,0)</x:f>
        <x:v>0</x:v>
      </x:c>
      <x:c r="J235" t="n">
        <x:f>IF(OR(EXACT(H235,"COMPLETED"),EXACT(H235,"CANCELLED")),0,1)</x:f>
        <x:v>0</x:v>
      </x:c>
    </x:row>
    <x:row r="236">
      <x:c r="A236" t="str">
        <x:v>O00234</x:v>
      </x:c>
      <x:c r="B236" t="str">
        <x:v>2026-07-04 11:38:22</x:v>
      </x:c>
      <x:c r="C236" t="str">
        <x:v>S001</x:v>
      </x:c>
      <x:c r="D236" t="str">
        <x:v>P001</x:v>
      </x:c>
      <x:c r="E236" s="23" t="n">
        <x:v>1</x:v>
      </x:c>
      <x:c r="F236" s="23" t="n">
        <x:v>4500</x:v>
      </x:c>
      <x:c r="G236" s="23" t="n">
        <x:v>0</x:v>
      </x:c>
      <x:c r="H236" t="str">
        <x:v>COMPLETED</x:v>
      </x:c>
      <x:c r="I236" t="n">
        <x:f>IF(COUNTIF($A$2:A236,A236)&gt;1,1,0)</x:f>
        <x:v>0</x:v>
      </x:c>
      <x:c r="J236" t="n">
        <x:f>IF(OR(EXACT(H236,"COMPLETED"),EXACT(H236,"CANCELLED")),0,1)</x:f>
        <x:v>0</x:v>
      </x:c>
    </x:row>
    <x:row r="237">
      <x:c r="A237" t="str">
        <x:v>O00235</x:v>
      </x:c>
      <x:c r="B237" t="str">
        <x:v>2026-07-10 16:34:27</x:v>
      </x:c>
      <x:c r="C237" t="str">
        <x:v>S003</x:v>
      </x:c>
      <x:c r="D237" t="str">
        <x:v>P003</x:v>
      </x:c>
      <x:c r="E237" s="23" t="n">
        <x:v>2</x:v>
      </x:c>
      <x:c r="F237" s="23" t="n">
        <x:v>5500</x:v>
      </x:c>
      <x:c r="G237" s="23" t="n">
        <x:v>0</x:v>
      </x:c>
      <x:c r="H237" t="str">
        <x:v>COMPLETED</x:v>
      </x:c>
      <x:c r="I237" t="n">
        <x:f>IF(COUNTIF($A$2:A237,A237)&gt;1,1,0)</x:f>
        <x:v>0</x:v>
      </x:c>
      <x:c r="J237" t="n">
        <x:f>IF(OR(EXACT(H237,"COMPLETED"),EXACT(H237,"CANCELLED")),0,1)</x:f>
        <x:v>0</x:v>
      </x:c>
    </x:row>
    <x:row r="238">
      <x:c r="A238" t="str">
        <x:v>O00236</x:v>
      </x:c>
      <x:c r="B238" t="str">
        <x:v>2026-07-01 14:11:22</x:v>
      </x:c>
      <x:c r="C238" t="str">
        <x:v>S001</x:v>
      </x:c>
      <x:c r="D238" t="str">
        <x:v>P006</x:v>
      </x:c>
      <x:c r="E238" s="23" t="n">
        <x:v>1</x:v>
      </x:c>
      <x:c r="F238" s="23" t="n">
        <x:v>7500</x:v>
      </x:c>
      <x:c r="G238" s="23" t="n">
        <x:v>0</x:v>
      </x:c>
      <x:c r="H238" t="str">
        <x:v>COMPLETED</x:v>
      </x:c>
      <x:c r="I238" t="n">
        <x:f>IF(COUNTIF($A$2:A238,A238)&gt;1,1,0)</x:f>
        <x:v>0</x:v>
      </x:c>
      <x:c r="J238" t="n">
        <x:f>IF(OR(EXACT(H238,"COMPLETED"),EXACT(H238,"CANCELLED")),0,1)</x:f>
        <x:v>0</x:v>
      </x:c>
    </x:row>
    <x:row r="239">
      <x:c r="A239" t="str">
        <x:v>O00237</x:v>
      </x:c>
      <x:c r="B239" t="str">
        <x:v>2026-07-12 13:10:52</x:v>
      </x:c>
      <x:c r="C239" t="str">
        <x:v>S003</x:v>
      </x:c>
      <x:c r="D239" t="str">
        <x:v>P006</x:v>
      </x:c>
      <x:c r="E239" s="23" t="n">
        <x:v>1</x:v>
      </x:c>
      <x:c r="F239" s="23" t="n">
        <x:v>7500</x:v>
      </x:c>
      <x:c r="G239" s="23" t="n">
        <x:v>0</x:v>
      </x:c>
      <x:c r="H239" t="str">
        <x:v>COMPLETED</x:v>
      </x:c>
      <x:c r="I239" t="n">
        <x:f>IF(COUNTIF($A$2:A239,A239)&gt;1,1,0)</x:f>
        <x:v>0</x:v>
      </x:c>
      <x:c r="J239" t="n">
        <x:f>IF(OR(EXACT(H239,"COMPLETED"),EXACT(H239,"CANCELLED")),0,1)</x:f>
        <x:v>0</x:v>
      </x:c>
    </x:row>
    <x:row r="240">
      <x:c r="A240" t="str">
        <x:v>O00238</x:v>
      </x:c>
      <x:c r="B240" t="str">
        <x:v>2026-07-05 10:06:52</x:v>
      </x:c>
      <x:c r="C240" t="str">
        <x:v>S001</x:v>
      </x:c>
      <x:c r="D240" t="str">
        <x:v>P001</x:v>
      </x:c>
      <x:c r="E240" s="23" t="n">
        <x:v>2</x:v>
      </x:c>
      <x:c r="F240" s="23" t="n">
        <x:v>4500</x:v>
      </x:c>
      <x:c r="G240" s="23" t="n">
        <x:v>0</x:v>
      </x:c>
      <x:c r="H240" t="str">
        <x:v>COMPLETED</x:v>
      </x:c>
      <x:c r="I240" t="n">
        <x:f>IF(COUNTIF($A$2:A240,A240)&gt;1,1,0)</x:f>
        <x:v>0</x:v>
      </x:c>
      <x:c r="J240" t="n">
        <x:f>IF(OR(EXACT(H240,"COMPLETED"),EXACT(H240,"CANCELLED")),0,1)</x:f>
        <x:v>0</x:v>
      </x:c>
    </x:row>
    <x:row r="241">
      <x:c r="A241" t="str">
        <x:v>O00239</x:v>
      </x:c>
      <x:c r="B241" t="str">
        <x:v>2026-07-12 07:51:56</x:v>
      </x:c>
      <x:c r="C241" t="str">
        <x:v>S001</x:v>
      </x:c>
      <x:c r="D241" t="str">
        <x:v>P006</x:v>
      </x:c>
      <x:c r="E241" s="23" t="n">
        <x:v>-1</x:v>
      </x:c>
      <x:c r="F241" s="23" t="n">
        <x:v>7500</x:v>
      </x:c>
      <x:c r="G241" s="23" t="n">
        <x:v>10</x:v>
      </x:c>
      <x:c r="H241" t="str">
        <x:v>COMPLETED</x:v>
      </x:c>
      <x:c r="I241" t="n">
        <x:f>IF(COUNTIF($A$2:A241,A241)&gt;1,1,0)</x:f>
        <x:v>0</x:v>
      </x:c>
      <x:c r="J241" t="n">
        <x:f>IF(OR(EXACT(H241,"COMPLETED"),EXACT(H241,"CANCELLED")),0,1)</x:f>
        <x:v>0</x:v>
      </x:c>
    </x:row>
    <x:row r="242">
      <x:c r="A242" t="str">
        <x:v>O00240</x:v>
      </x:c>
      <x:c r="B242" t="str">
        <x:v>2026-07-14 19:06:45</x:v>
      </x:c>
      <x:c r="C242" t="str">
        <x:v>S001</x:v>
      </x:c>
      <x:c r="D242" t="str">
        <x:v>P005</x:v>
      </x:c>
      <x:c r="E242" s="23" t="n">
        <x:v>1</x:v>
      </x:c>
      <x:c r="F242" s="23" t="n">
        <x:v>5500</x:v>
      </x:c>
      <x:c r="G242" s="23" t="n">
        <x:v>0</x:v>
      </x:c>
      <x:c r="H242" t="str">
        <x:v>COMPLETED</x:v>
      </x:c>
      <x:c r="I242" t="n">
        <x:f>IF(COUNTIF($A$2:A242,A242)&gt;1,1,0)</x:f>
        <x:v>0</x:v>
      </x:c>
      <x:c r="J242" t="n">
        <x:f>IF(OR(EXACT(H242,"COMPLETED"),EXACT(H242,"CANCELLED")),0,1)</x:f>
        <x:v>0</x:v>
      </x:c>
    </x:row>
    <x:row r="243">
      <x:c r="A243" t="str">
        <x:v>O00241</x:v>
      </x:c>
      <x:c r="B243" t="str">
        <x:v>2026-07-09 15:09:03</x:v>
      </x:c>
      <x:c r="C243" t="str">
        <x:v>S003</x:v>
      </x:c>
      <x:c r="D243" t="str">
        <x:v>P004</x:v>
      </x:c>
      <x:c r="E243" s="23" t="n">
        <x:v>1</x:v>
      </x:c>
      <x:c r="F243" s="23" t="n">
        <x:v>4800</x:v>
      </x:c>
      <x:c r="G243" s="23" t="n">
        <x:v>0</x:v>
      </x:c>
      <x:c r="H243" t="str">
        <x:v>COMPLETED</x:v>
      </x:c>
      <x:c r="I243" t="n">
        <x:f>IF(COUNTIF($A$2:A243,A243)&gt;1,1,0)</x:f>
        <x:v>0</x:v>
      </x:c>
      <x:c r="J243" t="n">
        <x:f>IF(OR(EXACT(H243,"COMPLETED"),EXACT(H243,"CANCELLED")),0,1)</x:f>
        <x:v>0</x:v>
      </x:c>
    </x:row>
    <x:row r="244">
      <x:c r="A244" t="str">
        <x:v>O00242</x:v>
      </x:c>
      <x:c r="B244" t="str">
        <x:v>2026-07-10 09:16:38</x:v>
      </x:c>
      <x:c r="C244" t="str">
        <x:v>S002</x:v>
      </x:c>
      <x:c r="D244" t="str">
        <x:v>P007</x:v>
      </x:c>
      <x:c r="E244" s="23" t="n">
        <x:v>2</x:v>
      </x:c>
      <x:c r="F244" s="23" t="n">
        <x:v>3000</x:v>
      </x:c>
      <x:c r="G244" s="23" t="n">
        <x:v>0</x:v>
      </x:c>
      <x:c r="H244" t="str">
        <x:v>COMPLETED</x:v>
      </x:c>
      <x:c r="I244" t="n">
        <x:f>IF(COUNTIF($A$2:A244,A244)&gt;1,1,0)</x:f>
        <x:v>0</x:v>
      </x:c>
      <x:c r="J244" t="n">
        <x:f>IF(OR(EXACT(H244,"COMPLETED"),EXACT(H244,"CANCELLED")),0,1)</x:f>
        <x:v>0</x:v>
      </x:c>
    </x:row>
    <x:row r="245">
      <x:c r="A245" t="str">
        <x:v>O00243</x:v>
      </x:c>
      <x:c r="B245" t="str">
        <x:v>2026-07-06 12:54:31</x:v>
      </x:c>
      <x:c r="C245" t="str">
        <x:v>S003</x:v>
      </x:c>
      <x:c r="D245" t="str">
        <x:v>P001</x:v>
      </x:c>
      <x:c r="E245" s="23" t="n">
        <x:v>2</x:v>
      </x:c>
      <x:c r="F245" s="23" t="n">
        <x:v>4500</x:v>
      </x:c>
      <x:c r="G245" s="23" t="n">
        <x:v>0</x:v>
      </x:c>
      <x:c r="H245" t="str">
        <x:v>COMPLETED</x:v>
      </x:c>
      <x:c r="I245" t="n">
        <x:f>IF(COUNTIF($A$2:A245,A245)&gt;1,1,0)</x:f>
        <x:v>0</x:v>
      </x:c>
      <x:c r="J245" t="n">
        <x:f>IF(OR(EXACT(H245,"COMPLETED"),EXACT(H245,"CANCELLED")),0,1)</x:f>
        <x:v>0</x:v>
      </x:c>
    </x:row>
    <x:row r="246">
      <x:c r="A246" t="str">
        <x:v>O00244</x:v>
      </x:c>
      <x:c r="B246" t="str">
        <x:v>2026-07-09 13:54:28</x:v>
      </x:c>
      <x:c r="C246" t="str">
        <x:v>S003</x:v>
      </x:c>
      <x:c r="D246" t="str">
        <x:v>P006</x:v>
      </x:c>
      <x:c r="E246" s="23" t="n">
        <x:v>1</x:v>
      </x:c>
      <x:c r="F246" s="23" t="n">
        <x:v>7500</x:v>
      </x:c>
      <x:c r="G246" s="23" t="n">
        <x:v>0</x:v>
      </x:c>
      <x:c r="H246" t="str">
        <x:v>COMPLETED</x:v>
      </x:c>
      <x:c r="I246" t="n">
        <x:f>IF(COUNTIF($A$2:A246,A246)&gt;1,1,0)</x:f>
        <x:v>0</x:v>
      </x:c>
      <x:c r="J246" t="n">
        <x:f>IF(OR(EXACT(H246,"COMPLETED"),EXACT(H246,"CANCELLED")),0,1)</x:f>
        <x:v>0</x:v>
      </x:c>
    </x:row>
    <x:row r="247">
      <x:c r="A247" t="str">
        <x:v>O00245</x:v>
      </x:c>
      <x:c r="B247" t="str">
        <x:v>2026-07-12 17:26:38</x:v>
      </x:c>
      <x:c r="C247" t="str">
        <x:v>S003</x:v>
      </x:c>
      <x:c r="D247" t="str">
        <x:v>P002</x:v>
      </x:c>
      <x:c r="E247" s="23" t="n">
        <x:v>1</x:v>
      </x:c>
      <x:c r="F247" s="23" t="n">
        <x:v>5000</x:v>
      </x:c>
      <x:c r="G247" s="23" t="n">
        <x:v>10</x:v>
      </x:c>
      <x:c r="H247" t="str">
        <x:v>COMPLETED</x:v>
      </x:c>
      <x:c r="I247" t="n">
        <x:f>IF(COUNTIF($A$2:A247,A247)&gt;1,1,0)</x:f>
        <x:v>0</x:v>
      </x:c>
      <x:c r="J247" t="n">
        <x:f>IF(OR(EXACT(H247,"COMPLETED"),EXACT(H247,"CANCELLED")),0,1)</x:f>
        <x:v>0</x:v>
      </x:c>
    </x:row>
    <x:row r="248">
      <x:c r="A248" t="str">
        <x:v>O00246</x:v>
      </x:c>
      <x:c r="B248" t="str">
        <x:v>2026-07-14 13:05:42</x:v>
      </x:c>
      <x:c r="C248" t="str">
        <x:v>S002</x:v>
      </x:c>
      <x:c r="D248" t="str">
        <x:v>P004</x:v>
      </x:c>
      <x:c r="E248" s="23" t="n">
        <x:v>1</x:v>
      </x:c>
      <x:c r="F248" s="23" t="n">
        <x:v>4800</x:v>
      </x:c>
      <x:c r="G248" s="23" t="n">
        <x:v>0</x:v>
      </x:c>
      <x:c r="H248" t="str">
        <x:v>COMPLETED</x:v>
      </x:c>
      <x:c r="I248" t="n">
        <x:f>IF(COUNTIF($A$2:A248,A248)&gt;1,1,0)</x:f>
        <x:v>0</x:v>
      </x:c>
      <x:c r="J248" t="n">
        <x:f>IF(OR(EXACT(H248,"COMPLETED"),EXACT(H248,"CANCELLED")),0,1)</x:f>
        <x:v>0</x:v>
      </x:c>
    </x:row>
    <x:row r="249">
      <x:c r="A249" t="str">
        <x:v>O00247</x:v>
      </x:c>
      <x:c r="B249" t="str">
        <x:v>2026-07-03 12:59:56</x:v>
      </x:c>
      <x:c r="C249" t="str">
        <x:v>S002</x:v>
      </x:c>
      <x:c r="D249" t="str">
        <x:v>P002</x:v>
      </x:c>
      <x:c r="E249" s="23" t="n">
        <x:v>1</x:v>
      </x:c>
      <x:c r="F249" s="23" t="n">
        <x:v>5000</x:v>
      </x:c>
      <x:c r="G249" s="23" t="n">
        <x:v>0</x:v>
      </x:c>
      <x:c r="H249" t="str">
        <x:v>COMPLETED</x:v>
      </x:c>
      <x:c r="I249" t="n">
        <x:f>IF(COUNTIF($A$2:A249,A249)&gt;1,1,0)</x:f>
        <x:v>0</x:v>
      </x:c>
      <x:c r="J249" t="n">
        <x:f>IF(OR(EXACT(H249,"COMPLETED"),EXACT(H249,"CANCELLED")),0,1)</x:f>
        <x:v>0</x:v>
      </x:c>
    </x:row>
    <x:row r="250">
      <x:c r="A250" t="str">
        <x:v>O00248</x:v>
      </x:c>
      <x:c r="B250" t="str">
        <x:v>2026-07-08 12:25:17</x:v>
      </x:c>
      <x:c r="C250" t="str">
        <x:v>S003</x:v>
      </x:c>
      <x:c r="D250" t="str">
        <x:v>P006</x:v>
      </x:c>
      <x:c r="E250" s="23" t="n">
        <x:v>2</x:v>
      </x:c>
      <x:c r="F250" s="23" t="n">
        <x:v>7500</x:v>
      </x:c>
      <x:c r="G250" s="23" t="n">
        <x:v>0</x:v>
      </x:c>
      <x:c r="H250" t="str">
        <x:v>COMPLETED</x:v>
      </x:c>
      <x:c r="I250" t="n">
        <x:f>IF(COUNTIF($A$2:A250,A250)&gt;1,1,0)</x:f>
        <x:v>0</x:v>
      </x:c>
      <x:c r="J250" t="n">
        <x:f>IF(OR(EXACT(H250,"COMPLETED"),EXACT(H250,"CANCELLED")),0,1)</x:f>
        <x:v>0</x:v>
      </x:c>
    </x:row>
    <x:row r="251">
      <x:c r="A251" t="str">
        <x:v>O00249</x:v>
      </x:c>
      <x:c r="B251" t="str">
        <x:v>2026-07-01 13:36:51</x:v>
      </x:c>
      <x:c r="C251" t="str">
        <x:v>S001</x:v>
      </x:c>
      <x:c r="D251" t="str">
        <x:v>P005</x:v>
      </x:c>
      <x:c r="E251" s="23" t="n">
        <x:v>2</x:v>
      </x:c>
      <x:c r="F251" s="23" t="n">
        <x:v>5500</x:v>
      </x:c>
      <x:c r="G251" s="23" t="n">
        <x:v>0</x:v>
      </x:c>
      <x:c r="H251" t="str">
        <x:v>COMPLETED</x:v>
      </x:c>
      <x:c r="I251" t="n">
        <x:f>IF(COUNTIF($A$2:A251,A251)&gt;1,1,0)</x:f>
        <x:v>0</x:v>
      </x:c>
      <x:c r="J251" t="n">
        <x:f>IF(OR(EXACT(H251,"COMPLETED"),EXACT(H251,"CANCELLED")),0,1)</x:f>
        <x:v>0</x:v>
      </x:c>
    </x:row>
    <x:row r="252">
      <x:c r="A252" t="str">
        <x:v>O00250</x:v>
      </x:c>
      <x:c r="B252" t="str">
        <x:v>2026-07-03 14:22:30</x:v>
      </x:c>
      <x:c r="C252" t="str">
        <x:v>S003</x:v>
      </x:c>
      <x:c r="D252" t="str">
        <x:v>P006</x:v>
      </x:c>
      <x:c r="E252" s="23" t="n">
        <x:v>3</x:v>
      </x:c>
      <x:c r="F252" s="23" t="n">
        <x:v>7500</x:v>
      </x:c>
      <x:c r="G252" s="23" t="n">
        <x:v>0</x:v>
      </x:c>
      <x:c r="H252" t="str">
        <x:v>COMPLETED</x:v>
      </x:c>
      <x:c r="I252" t="n">
        <x:f>IF(COUNTIF($A$2:A252,A252)&gt;1,1,0)</x:f>
        <x:v>0</x:v>
      </x:c>
      <x:c r="J252" t="n">
        <x:f>IF(OR(EXACT(H252,"COMPLETED"),EXACT(H252,"CANCELLED")),0,1)</x:f>
        <x:v>0</x:v>
      </x:c>
    </x:row>
    <x:row r="253">
      <x:c r="A253" t="str">
        <x:v>O00251</x:v>
      </x:c>
      <x:c r="B253" t="str">
        <x:v>2026-07-11 09:47:44</x:v>
      </x:c>
      <x:c r="C253" t="str">
        <x:v>S003</x:v>
      </x:c>
      <x:c r="D253" t="str">
        <x:v>P003</x:v>
      </x:c>
      <x:c r="E253" s="23" t="n">
        <x:v>1</x:v>
      </x:c>
      <x:c r="F253" s="23" t="n">
        <x:v>5500</x:v>
      </x:c>
      <x:c r="G253" s="23" t="n">
        <x:v>0</x:v>
      </x:c>
      <x:c r="H253" t="str">
        <x:v>COMPLETED</x:v>
      </x:c>
      <x:c r="I253" t="n">
        <x:f>IF(COUNTIF($A$2:A253,A253)&gt;1,1,0)</x:f>
        <x:v>0</x:v>
      </x:c>
      <x:c r="J253" t="n">
        <x:f>IF(OR(EXACT(H253,"COMPLETED"),EXACT(H253,"CANCELLED")),0,1)</x:f>
        <x:v>0</x:v>
      </x:c>
    </x:row>
    <x:row r="254">
      <x:c r="A254" t="str">
        <x:v>O00252</x:v>
      </x:c>
      <x:c r="B254" t="str">
        <x:v>2026-07-06 15:13:18</x:v>
      </x:c>
      <x:c r="C254" t="str">
        <x:v>S001</x:v>
      </x:c>
      <x:c r="D254" t="str">
        <x:v>P004</x:v>
      </x:c>
      <x:c r="E254" s="23" t="n">
        <x:v>1</x:v>
      </x:c>
      <x:c r="F254" s="23" t="n">
        <x:v>4800</x:v>
      </x:c>
      <x:c r="G254" s="23" t="n">
        <x:v>0</x:v>
      </x:c>
      <x:c r="H254" t="str">
        <x:v>COMPLETED</x:v>
      </x:c>
      <x:c r="I254" t="n">
        <x:f>IF(COUNTIF($A$2:A254,A254)&gt;1,1,0)</x:f>
        <x:v>0</x:v>
      </x:c>
      <x:c r="J254" t="n">
        <x:f>IF(OR(EXACT(H254,"COMPLETED"),EXACT(H254,"CANCELLED")),0,1)</x:f>
        <x:v>0</x:v>
      </x:c>
    </x:row>
    <x:row r="255">
      <x:c r="A255" t="str">
        <x:v>O00253</x:v>
      </x:c>
      <x:c r="B255" t="str">
        <x:v>2026-07-12 18:52:20</x:v>
      </x:c>
      <x:c r="C255" t="str">
        <x:v>S002</x:v>
      </x:c>
      <x:c r="D255" t="str">
        <x:v>P002</x:v>
      </x:c>
      <x:c r="E255" s="23" t="n">
        <x:v>2</x:v>
      </x:c>
      <x:c r="F255" s="23" t="n">
        <x:v>5000</x:v>
      </x:c>
      <x:c r="G255" s="23" t="n">
        <x:v>30</x:v>
      </x:c>
      <x:c r="H255" t="str">
        <x:v>COMPLETED</x:v>
      </x:c>
      <x:c r="I255" t="n">
        <x:f>IF(COUNTIF($A$2:A255,A255)&gt;1,1,0)</x:f>
        <x:v>0</x:v>
      </x:c>
      <x:c r="J255" t="n">
        <x:f>IF(OR(EXACT(H255,"COMPLETED"),EXACT(H255,"CANCELLED")),0,1)</x:f>
        <x:v>0</x:v>
      </x:c>
    </x:row>
    <x:row r="256">
      <x:c r="A256" t="str">
        <x:v>O00254</x:v>
      </x:c>
      <x:c r="B256" t="str">
        <x:v>2026-07-13 07:34:51</x:v>
      </x:c>
      <x:c r="C256" t="str">
        <x:v>S002</x:v>
      </x:c>
      <x:c r="D256" t="str">
        <x:v>P006</x:v>
      </x:c>
      <x:c r="E256" s="23" t="n">
        <x:v>1</x:v>
      </x:c>
      <x:c r="F256" s="23" t="n">
        <x:v>7500</x:v>
      </x:c>
      <x:c r="G256" s="23" t="n">
        <x:v>0</x:v>
      </x:c>
      <x:c r="H256" t="str">
        <x:v>COMPLETED</x:v>
      </x:c>
      <x:c r="I256" t="n">
        <x:f>IF(COUNTIF($A$2:A256,A256)&gt;1,1,0)</x:f>
        <x:v>0</x:v>
      </x:c>
      <x:c r="J256" t="n">
        <x:f>IF(OR(EXACT(H256,"COMPLETED"),EXACT(H256,"CANCELLED")),0,1)</x:f>
        <x:v>0</x:v>
      </x:c>
    </x:row>
    <x:row r="257">
      <x:c r="A257" t="str">
        <x:v>O00255</x:v>
      </x:c>
      <x:c r="B257" t="str">
        <x:v>2026-07-03 16:25:07</x:v>
      </x:c>
      <x:c r="C257" t="str">
        <x:v>S001</x:v>
      </x:c>
      <x:c r="D257" t="str">
        <x:v>P005</x:v>
      </x:c>
      <x:c r="E257" s="23" t="n">
        <x:v>1</x:v>
      </x:c>
      <x:c r="F257" s="23" t="n">
        <x:v>5500</x:v>
      </x:c>
      <x:c r="G257" s="23" t="n">
        <x:v>0</x:v>
      </x:c>
      <x:c r="H257" t="str">
        <x:v>COMPLETED</x:v>
      </x:c>
      <x:c r="I257" t="n">
        <x:f>IF(COUNTIF($A$2:A257,A257)&gt;1,1,0)</x:f>
        <x:v>0</x:v>
      </x:c>
      <x:c r="J257" t="n">
        <x:f>IF(OR(EXACT(H257,"COMPLETED"),EXACT(H257,"CANCELLED")),0,1)</x:f>
        <x:v>0</x:v>
      </x:c>
    </x:row>
    <x:row r="258">
      <x:c r="A258" t="str">
        <x:v>O00256</x:v>
      </x:c>
      <x:c r="B258" t="str">
        <x:v>2026-07-07 10:40:19</x:v>
      </x:c>
      <x:c r="C258" t="str">
        <x:v>S002</x:v>
      </x:c>
      <x:c r="D258" t="str">
        <x:v>P002</x:v>
      </x:c>
      <x:c r="E258" s="23" t="n">
        <x:v>2</x:v>
      </x:c>
      <x:c r="F258" s="23" t="n">
        <x:v>5000</x:v>
      </x:c>
      <x:c r="G258" s="23" t="n">
        <x:v>0</x:v>
      </x:c>
      <x:c r="H258" t="str">
        <x:v>COMPLETED</x:v>
      </x:c>
      <x:c r="I258" t="n">
        <x:f>IF(COUNTIF($A$2:A258,A258)&gt;1,1,0)</x:f>
        <x:v>0</x:v>
      </x:c>
      <x:c r="J258" t="n">
        <x:f>IF(OR(EXACT(H258,"COMPLETED"),EXACT(H258,"CANCELLED")),0,1)</x:f>
        <x:v>0</x:v>
      </x:c>
    </x:row>
    <x:row r="259">
      <x:c r="A259" t="str">
        <x:v>O00257</x:v>
      </x:c>
      <x:c r="B259" t="str">
        <x:v>2026-07-13 12:44:36</x:v>
      </x:c>
      <x:c r="C259" t="str">
        <x:v>S003</x:v>
      </x:c>
      <x:c r="D259" t="str">
        <x:v>P001</x:v>
      </x:c>
      <x:c r="E259" s="23" t="n">
        <x:v>1</x:v>
      </x:c>
      <x:c r="F259" s="23" t="n">
        <x:v>4500</x:v>
      </x:c>
      <x:c r="G259" s="23" t="n">
        <x:v>10</x:v>
      </x:c>
      <x:c r="H259" t="str">
        <x:v>COMPLETED</x:v>
      </x:c>
      <x:c r="I259" t="n">
        <x:f>IF(COUNTIF($A$2:A259,A259)&gt;1,1,0)</x:f>
        <x:v>0</x:v>
      </x:c>
      <x:c r="J259" t="n">
        <x:f>IF(OR(EXACT(H259,"COMPLETED"),EXACT(H259,"CANCELLED")),0,1)</x:f>
        <x:v>0</x:v>
      </x:c>
    </x:row>
    <x:row r="260">
      <x:c r="A260" t="str">
        <x:v>O00258</x:v>
      </x:c>
      <x:c r="B260" t="str">
        <x:v>2026-07-02 20:32:03</x:v>
      </x:c>
      <x:c r="C260" t="str">
        <x:v>S001</x:v>
      </x:c>
      <x:c r="D260" t="str">
        <x:v>P002</x:v>
      </x:c>
      <x:c r="E260" s="23" t="n">
        <x:v>1</x:v>
      </x:c>
      <x:c r="F260" s="23" t="n">
        <x:v>5000</x:v>
      </x:c>
      <x:c r="G260" s="23" t="n">
        <x:v>0</x:v>
      </x:c>
      <x:c r="H260" t="str">
        <x:v>CANCELLED</x:v>
      </x:c>
      <x:c r="I260" t="n">
        <x:f>IF(COUNTIF($A$2:A260,A260)&gt;1,1,0)</x:f>
        <x:v>0</x:v>
      </x:c>
      <x:c r="J260" t="n">
        <x:f>IF(OR(EXACT(H260,"COMPLETED"),EXACT(H260,"CANCELLED")),0,1)</x:f>
        <x:v>0</x:v>
      </x:c>
    </x:row>
    <x:row r="261">
      <x:c r="A261" t="str">
        <x:v>O00259</x:v>
      </x:c>
      <x:c r="B261" t="str">
        <x:v>2026-07-08 09:26:04</x:v>
      </x:c>
      <x:c r="C261" t="str">
        <x:v>S002</x:v>
      </x:c>
      <x:c r="D261" t="str">
        <x:v>P003</x:v>
      </x:c>
      <x:c r="E261" s="23" t="n">
        <x:v>1</x:v>
      </x:c>
      <x:c r="F261" s="23" t="n">
        <x:v>5500</x:v>
      </x:c>
      <x:c r="G261" s="23" t="n">
        <x:v>0</x:v>
      </x:c>
      <x:c r="H261" t="str">
        <x:v>COMPLETED</x:v>
      </x:c>
      <x:c r="I261" t="n">
        <x:f>IF(COUNTIF($A$2:A261,A261)&gt;1,1,0)</x:f>
        <x:v>0</x:v>
      </x:c>
      <x:c r="J261" t="n">
        <x:f>IF(OR(EXACT(H261,"COMPLETED"),EXACT(H261,"CANCELLED")),0,1)</x:f>
        <x:v>0</x:v>
      </x:c>
    </x:row>
    <x:row r="262">
      <x:c r="A262" t="str">
        <x:v>O00260</x:v>
      </x:c>
      <x:c r="B262" t="str">
        <x:v>2026-07-05 20:31:01</x:v>
      </x:c>
      <x:c r="C262" t="str">
        <x:v>S001</x:v>
      </x:c>
      <x:c r="D262" t="str">
        <x:v>P001</x:v>
      </x:c>
      <x:c r="E262" s="23" t="n">
        <x:v>1</x:v>
      </x:c>
      <x:c r="F262" s="23" t="n">
        <x:v>4500</x:v>
      </x:c>
      <x:c r="G262" s="23" t="n">
        <x:v>10</x:v>
      </x:c>
      <x:c r="H262" t="str">
        <x:v>COMPLETED</x:v>
      </x:c>
      <x:c r="I262" t="n">
        <x:f>IF(COUNTIF($A$2:A262,A262)&gt;1,1,0)</x:f>
        <x:v>0</x:v>
      </x:c>
      <x:c r="J262" t="n">
        <x:f>IF(OR(EXACT(H262,"COMPLETED"),EXACT(H262,"CANCELLED")),0,1)</x:f>
        <x:v>0</x:v>
      </x:c>
    </x:row>
    <x:row r="263">
      <x:c r="A263" t="str">
        <x:v>O00261</x:v>
      </x:c>
      <x:c r="B263" t="str">
        <x:v>2026-07-11 13:30:12</x:v>
      </x:c>
      <x:c r="C263" t="str">
        <x:v>S001</x:v>
      </x:c>
      <x:c r="D263" t="str">
        <x:v>P005</x:v>
      </x:c>
      <x:c r="E263" s="23" t="n">
        <x:v>1</x:v>
      </x:c>
      <x:c r="F263" s="23" t="n">
        <x:v>5500</x:v>
      </x:c>
      <x:c r="G263" s="23" t="n">
        <x:v>0</x:v>
      </x:c>
      <x:c r="H263" t="str">
        <x:v>completed</x:v>
      </x:c>
      <x:c r="I263" t="n">
        <x:f>IF(COUNTIF($A$2:A263,A263)&gt;1,1,0)</x:f>
        <x:v>0</x:v>
      </x:c>
      <x:c r="J263" t="n">
        <x:f>IF(OR(EXACT(H263,"COMPLETED"),EXACT(H263,"CANCELLED")),0,1)</x:f>
        <x:v>1</x:v>
      </x:c>
    </x:row>
    <x:row r="264">
      <x:c r="A264" t="str">
        <x:v>O00262</x:v>
      </x:c>
      <x:c r="B264" t="str">
        <x:v>2026-07-10 18:51:30</x:v>
      </x:c>
      <x:c r="C264" t="str">
        <x:v>S002</x:v>
      </x:c>
      <x:c r="D264" t="str">
        <x:v>P005</x:v>
      </x:c>
      <x:c r="E264" s="23" t="n">
        <x:v>1</x:v>
      </x:c>
      <x:c r="F264" s="23" t="n">
        <x:v>5500</x:v>
      </x:c>
      <x:c r="G264" s="23" t="n">
        <x:v>0</x:v>
      </x:c>
      <x:c r="H264" t="str">
        <x:v>COMPLETED</x:v>
      </x:c>
      <x:c r="I264" t="n">
        <x:f>IF(COUNTIF($A$2:A264,A264)&gt;1,1,0)</x:f>
        <x:v>0</x:v>
      </x:c>
      <x:c r="J264" t="n">
        <x:f>IF(OR(EXACT(H264,"COMPLETED"),EXACT(H264,"CANCELLED")),0,1)</x:f>
        <x:v>0</x:v>
      </x:c>
    </x:row>
    <x:row r="265">
      <x:c r="A265" t="str">
        <x:v>O00263</x:v>
      </x:c>
      <x:c r="B265" t="str">
        <x:v>2026-07-01 13:09:22</x:v>
      </x:c>
      <x:c r="C265" t="str">
        <x:v>S003</x:v>
      </x:c>
      <x:c r="D265" t="str">
        <x:v>P001</x:v>
      </x:c>
      <x:c r="E265" s="23" t="n">
        <x:v>1</x:v>
      </x:c>
      <x:c r="F265" s="23" t="n">
        <x:v>4500</x:v>
      </x:c>
      <x:c r="G265" s="23" t="n">
        <x:v>0</x:v>
      </x:c>
      <x:c r="H265" t="str">
        <x:v>COMPLETED</x:v>
      </x:c>
      <x:c r="I265" t="n">
        <x:f>IF(COUNTIF($A$2:A265,A265)&gt;1,1,0)</x:f>
        <x:v>0</x:v>
      </x:c>
      <x:c r="J265" t="n">
        <x:f>IF(OR(EXACT(H265,"COMPLETED"),EXACT(H265,"CANCELLED")),0,1)</x:f>
        <x:v>0</x:v>
      </x:c>
    </x:row>
    <x:row r="266">
      <x:c r="A266" t="str">
        <x:v>O00264</x:v>
      </x:c>
      <x:c r="B266" t="str">
        <x:v>2026-07-10 11:24:12</x:v>
      </x:c>
      <x:c r="C266" t="str">
        <x:v>S003</x:v>
      </x:c>
      <x:c r="D266" t="str">
        <x:v>P006</x:v>
      </x:c>
      <x:c r="E266" s="23" t="n">
        <x:v>1</x:v>
      </x:c>
      <x:c r="F266" s="23" t="n">
        <x:v>7500</x:v>
      </x:c>
      <x:c r="G266" s="23" t="n">
        <x:v>10</x:v>
      </x:c>
      <x:c r="H266" t="str">
        <x:v>COMPLETED</x:v>
      </x:c>
      <x:c r="I266" t="n">
        <x:f>IF(COUNTIF($A$2:A266,A266)&gt;1,1,0)</x:f>
        <x:v>0</x:v>
      </x:c>
      <x:c r="J266" t="n">
        <x:f>IF(OR(EXACT(H266,"COMPLETED"),EXACT(H266,"CANCELLED")),0,1)</x:f>
        <x:v>0</x:v>
      </x:c>
    </x:row>
    <x:row r="267">
      <x:c r="A267" t="str">
        <x:v>O00265</x:v>
      </x:c>
      <x:c r="B267" t="str">
        <x:v>2026-07-01 17:06:57</x:v>
      </x:c>
      <x:c r="C267" t="str">
        <x:v>S002</x:v>
      </x:c>
      <x:c r="D267" t="str">
        <x:v>P004</x:v>
      </x:c>
      <x:c r="E267" s="23" t="n">
        <x:v>2</x:v>
      </x:c>
      <x:c r="F267" s="23" t="n">
        <x:v>4800</x:v>
      </x:c>
      <x:c r="G267" s="23" t="n">
        <x:v>0</x:v>
      </x:c>
      <x:c r="H267" t="str">
        <x:v>COMPLETED</x:v>
      </x:c>
      <x:c r="I267" t="n">
        <x:f>IF(COUNTIF($A$2:A267,A267)&gt;1,1,0)</x:f>
        <x:v>0</x:v>
      </x:c>
      <x:c r="J267" t="n">
        <x:f>IF(OR(EXACT(H267,"COMPLETED"),EXACT(H267,"CANCELLED")),0,1)</x:f>
        <x:v>0</x:v>
      </x:c>
    </x:row>
    <x:row r="268">
      <x:c r="A268" t="str">
        <x:v>O00266</x:v>
      </x:c>
      <x:c r="B268" t="str">
        <x:v>2026-07-10 18:58:23</x:v>
      </x:c>
      <x:c r="C268" t="str">
        <x:v>S001</x:v>
      </x:c>
      <x:c r="D268" t="str">
        <x:v>P002</x:v>
      </x:c>
      <x:c r="E268" s="23" t="n">
        <x:v>1</x:v>
      </x:c>
      <x:c r="F268" s="23" t="n">
        <x:v>5000</x:v>
      </x:c>
      <x:c r="G268" s="23" t="n">
        <x:v>0</x:v>
      </x:c>
      <x:c r="H268" t="str">
        <x:v>COMPLETED</x:v>
      </x:c>
      <x:c r="I268" t="n">
        <x:f>IF(COUNTIF($A$2:A268,A268)&gt;1,1,0)</x:f>
        <x:v>0</x:v>
      </x:c>
      <x:c r="J268" t="n">
        <x:f>IF(OR(EXACT(H268,"COMPLETED"),EXACT(H268,"CANCELLED")),0,1)</x:f>
        <x:v>0</x:v>
      </x:c>
    </x:row>
    <x:row r="269">
      <x:c r="A269" t="str">
        <x:v>O00267</x:v>
      </x:c>
      <x:c r="B269" t="str">
        <x:v>2026-07-03 14:21:57</x:v>
      </x:c>
      <x:c r="C269" t="str">
        <x:v>S001</x:v>
      </x:c>
      <x:c r="D269" t="str">
        <x:v>P001</x:v>
      </x:c>
      <x:c r="E269" s="23" t="n">
        <x:v>1</x:v>
      </x:c>
      <x:c r="F269" s="23" t="n">
        <x:v>4500</x:v>
      </x:c>
      <x:c r="G269" s="23" t="n">
        <x:v>0</x:v>
      </x:c>
      <x:c r="H269" t="str">
        <x:v>COMPLETED</x:v>
      </x:c>
      <x:c r="I269" t="n">
        <x:f>IF(COUNTIF($A$2:A269,A269)&gt;1,1,0)</x:f>
        <x:v>0</x:v>
      </x:c>
      <x:c r="J269" t="n">
        <x:f>IF(OR(EXACT(H269,"COMPLETED"),EXACT(H269,"CANCELLED")),0,1)</x:f>
        <x:v>0</x:v>
      </x:c>
    </x:row>
    <x:row r="270">
      <x:c r="A270" t="str">
        <x:v>O00268</x:v>
      </x:c>
      <x:c r="B270" t="str">
        <x:v>2026-07-05 18:36:20</x:v>
      </x:c>
      <x:c r="C270" t="str">
        <x:v>S002</x:v>
      </x:c>
      <x:c r="D270" t="str">
        <x:v>P007</x:v>
      </x:c>
      <x:c r="E270" s="23" t="n">
        <x:v>1</x:v>
      </x:c>
      <x:c r="F270" s="23" t="n">
        <x:v>3000</x:v>
      </x:c>
      <x:c r="G270" s="23" t="n">
        <x:v>0</x:v>
      </x:c>
      <x:c r="H270" t="str">
        <x:v>COMPLETED</x:v>
      </x:c>
      <x:c r="I270" t="n">
        <x:f>IF(COUNTIF($A$2:A270,A270)&gt;1,1,0)</x:f>
        <x:v>0</x:v>
      </x:c>
      <x:c r="J270" t="n">
        <x:f>IF(OR(EXACT(H270,"COMPLETED"),EXACT(H270,"CANCELLED")),0,1)</x:f>
        <x:v>0</x:v>
      </x:c>
    </x:row>
    <x:row r="271">
      <x:c r="A271" t="str">
        <x:v>O00269</x:v>
      </x:c>
      <x:c r="B271" t="str">
        <x:v>2026-07-05 08:35:10</x:v>
      </x:c>
      <x:c r="C271" t="str">
        <x:v>S001</x:v>
      </x:c>
      <x:c r="D271" t="str">
        <x:v>P004</x:v>
      </x:c>
      <x:c r="E271" s="23" t="n">
        <x:v>3</x:v>
      </x:c>
      <x:c r="F271" s="23" t="n">
        <x:v>4800</x:v>
      </x:c>
      <x:c r="G271" s="23" t="n">
        <x:v>0</x:v>
      </x:c>
      <x:c r="H271" t="str">
        <x:v>CANCELLED</x:v>
      </x:c>
      <x:c r="I271" t="n">
        <x:f>IF(COUNTIF($A$2:A271,A271)&gt;1,1,0)</x:f>
        <x:v>0</x:v>
      </x:c>
      <x:c r="J271" t="n">
        <x:f>IF(OR(EXACT(H271,"COMPLETED"),EXACT(H271,"CANCELLED")),0,1)</x:f>
        <x:v>0</x:v>
      </x:c>
    </x:row>
    <x:row r="272">
      <x:c r="A272" t="str">
        <x:v>O00270</x:v>
      </x:c>
      <x:c r="B272" t="str">
        <x:v>2026-07-05 10:41:26</x:v>
      </x:c>
      <x:c r="C272" t="str">
        <x:v>S001</x:v>
      </x:c>
      <x:c r="D272" t="str">
        <x:v>P001</x:v>
      </x:c>
      <x:c r="E272" s="23" t="n">
        <x:v>1</x:v>
      </x:c>
      <x:c r="F272" s="23" t="n">
        <x:v>4500</x:v>
      </x:c>
      <x:c r="G272" s="23" t="n">
        <x:v>0</x:v>
      </x:c>
      <x:c r="H272" t="str">
        <x:v>COMPLETED</x:v>
      </x:c>
      <x:c r="I272" t="n">
        <x:f>IF(COUNTIF($A$2:A272,A272)&gt;1,1,0)</x:f>
        <x:v>0</x:v>
      </x:c>
      <x:c r="J272" t="n">
        <x:f>IF(OR(EXACT(H272,"COMPLETED"),EXACT(H272,"CANCELLED")),0,1)</x:f>
        <x:v>0</x:v>
      </x:c>
    </x:row>
    <x:row r="273">
      <x:c r="A273" t="str">
        <x:v>O00271</x:v>
      </x:c>
      <x:c r="B273" t="str">
        <x:v>2026-07-04 15:08:52</x:v>
      </x:c>
      <x:c r="C273" t="str">
        <x:v>S002</x:v>
      </x:c>
      <x:c r="D273" t="str">
        <x:v>P003</x:v>
      </x:c>
      <x:c r="E273" s="23" t="n">
        <x:v>3</x:v>
      </x:c>
      <x:c r="F273" s="23" t="n">
        <x:v>5500</x:v>
      </x:c>
      <x:c r="G273" s="23" t="n">
        <x:v>20</x:v>
      </x:c>
      <x:c r="H273" t="str">
        <x:v>COMPLETED</x:v>
      </x:c>
      <x:c r="I273" t="n">
        <x:f>IF(COUNTIF($A$2:A273,A273)&gt;1,1,0)</x:f>
        <x:v>0</x:v>
      </x:c>
      <x:c r="J273" t="n">
        <x:f>IF(OR(EXACT(H273,"COMPLETED"),EXACT(H273,"CANCELLED")),0,1)</x:f>
        <x:v>0</x:v>
      </x:c>
    </x:row>
    <x:row r="274">
      <x:c r="A274" t="str">
        <x:v>O00272</x:v>
      </x:c>
      <x:c r="B274" t="str">
        <x:v>2026-07-13 19:23:40</x:v>
      </x:c>
      <x:c r="C274" t="str">
        <x:v>S003</x:v>
      </x:c>
      <x:c r="D274" t="str">
        <x:v>P005</x:v>
      </x:c>
      <x:c r="E274" s="23" t="n">
        <x:v>1</x:v>
      </x:c>
      <x:c r="F274" s="23" t="n">
        <x:v>5500</x:v>
      </x:c>
      <x:c r="G274" s="23" t="n">
        <x:v>0</x:v>
      </x:c>
      <x:c r="H274" t="str">
        <x:v>COMPLETED</x:v>
      </x:c>
      <x:c r="I274" t="n">
        <x:f>IF(COUNTIF($A$2:A274,A274)&gt;1,1,0)</x:f>
        <x:v>0</x:v>
      </x:c>
      <x:c r="J274" t="n">
        <x:f>IF(OR(EXACT(H274,"COMPLETED"),EXACT(H274,"CANCELLED")),0,1)</x:f>
        <x:v>0</x:v>
      </x:c>
    </x:row>
    <x:row r="275">
      <x:c r="A275" t="str">
        <x:v>O00273</x:v>
      </x:c>
      <x:c r="B275" t="str">
        <x:v>2026-07-05 16:34:34</x:v>
      </x:c>
      <x:c r="C275" t="str">
        <x:v>S001</x:v>
      </x:c>
      <x:c r="D275" t="str">
        <x:v>P005</x:v>
      </x:c>
      <x:c r="E275" s="23" t="n">
        <x:v>2</x:v>
      </x:c>
      <x:c r="F275" s="23" t="n">
        <x:v>5500</x:v>
      </x:c>
      <x:c r="G275" s="23" t="n">
        <x:v>20</x:v>
      </x:c>
      <x:c r="H275" t="str">
        <x:v>COMPLETED</x:v>
      </x:c>
      <x:c r="I275" t="n">
        <x:f>IF(COUNTIF($A$2:A275,A275)&gt;1,1,0)</x:f>
        <x:v>0</x:v>
      </x:c>
      <x:c r="J275" t="n">
        <x:f>IF(OR(EXACT(H275,"COMPLETED"),EXACT(H275,"CANCELLED")),0,1)</x:f>
        <x:v>0</x:v>
      </x:c>
    </x:row>
    <x:row r="276">
      <x:c r="A276" t="str">
        <x:v>O00274</x:v>
      </x:c>
      <x:c r="B276" t="str">
        <x:v>2026-07-07 12:40:25</x:v>
      </x:c>
      <x:c r="C276" t="str">
        <x:v>S001</x:v>
      </x:c>
      <x:c r="D276" t="str">
        <x:v>P001</x:v>
      </x:c>
      <x:c r="E276" s="23" t="n">
        <x:v>2</x:v>
      </x:c>
      <x:c r="F276" s="23" t="n">
        <x:v>4500</x:v>
      </x:c>
      <x:c r="G276" s="23" t="n">
        <x:v>0</x:v>
      </x:c>
      <x:c r="H276" t="str">
        <x:v>COMPLETED</x:v>
      </x:c>
      <x:c r="I276" t="n">
        <x:f>IF(COUNTIF($A$2:A276,A276)&gt;1,1,0)</x:f>
        <x:v>0</x:v>
      </x:c>
      <x:c r="J276" t="n">
        <x:f>IF(OR(EXACT(H276,"COMPLETED"),EXACT(H276,"CANCELLED")),0,1)</x:f>
        <x:v>0</x:v>
      </x:c>
    </x:row>
    <x:row r="277">
      <x:c r="A277" t="str">
        <x:v>O00275</x:v>
      </x:c>
      <x:c r="B277" t="str">
        <x:v>2026-07-09 20:10:58</x:v>
      </x:c>
      <x:c r="C277" t="str">
        <x:v>S003</x:v>
      </x:c>
      <x:c r="D277" t="str">
        <x:v>P008</x:v>
      </x:c>
      <x:c r="E277" s="23" t="n">
        <x:v>1</x:v>
      </x:c>
      <x:c r="F277" s="23" t="n">
        <x:v>4200</x:v>
      </x:c>
      <x:c r="G277" s="23" t="n">
        <x:v>0</x:v>
      </x:c>
      <x:c r="H277" t="str">
        <x:v>COMPLETED</x:v>
      </x:c>
      <x:c r="I277" t="n">
        <x:f>IF(COUNTIF($A$2:A277,A277)&gt;1,1,0)</x:f>
        <x:v>0</x:v>
      </x:c>
      <x:c r="J277" t="n">
        <x:f>IF(OR(EXACT(H277,"COMPLETED"),EXACT(H277,"CANCELLED")),0,1)</x:f>
        <x:v>0</x:v>
      </x:c>
    </x:row>
    <x:row r="278">
      <x:c r="A278" t="str">
        <x:v>O00276</x:v>
      </x:c>
      <x:c r="B278" t="str">
        <x:v>2026-07-03 14:57:04</x:v>
      </x:c>
      <x:c r="C278" t="str">
        <x:v>S002</x:v>
      </x:c>
      <x:c r="D278" t="str">
        <x:v>P005</x:v>
      </x:c>
      <x:c r="E278" s="23" t="n">
        <x:v>1</x:v>
      </x:c>
      <x:c r="F278" s="23" t="n">
        <x:v>5500</x:v>
      </x:c>
      <x:c r="G278" s="23" t="n">
        <x:v>0</x:v>
      </x:c>
      <x:c r="H278" t="str">
        <x:v>COMPLETED</x:v>
      </x:c>
      <x:c r="I278" t="n">
        <x:f>IF(COUNTIF($A$2:A278,A278)&gt;1,1,0)</x:f>
        <x:v>0</x:v>
      </x:c>
      <x:c r="J278" t="n">
        <x:f>IF(OR(EXACT(H278,"COMPLETED"),EXACT(H278,"CANCELLED")),0,1)</x:f>
        <x:v>0</x:v>
      </x:c>
    </x:row>
    <x:row r="279">
      <x:c r="A279" t="str">
        <x:v>O00277</x:v>
      </x:c>
      <x:c r="B279" t="str">
        <x:v>2026-07-11 20:57:11</x:v>
      </x:c>
      <x:c r="C279" t="str">
        <x:v>S001</x:v>
      </x:c>
      <x:c r="D279" t="str">
        <x:v>P005</x:v>
      </x:c>
      <x:c r="E279" s="23" t="n">
        <x:v>1</x:v>
      </x:c>
      <x:c r="F279" s="23" t="n">
        <x:v>5500</x:v>
      </x:c>
      <x:c r="G279" s="23"/>
      <x:c r="H279" t="str">
        <x:v>COMPLETED</x:v>
      </x:c>
      <x:c r="I279" t="n">
        <x:f>IF(COUNTIF($A$2:A279,A279)&gt;1,1,0)</x:f>
        <x:v>0</x:v>
      </x:c>
      <x:c r="J279" t="n">
        <x:f>IF(OR(EXACT(H279,"COMPLETED"),EXACT(H279,"CANCELLED")),0,1)</x:f>
        <x:v>0</x:v>
      </x:c>
    </x:row>
    <x:row r="280">
      <x:c r="A280" t="str">
        <x:v>O00278</x:v>
      </x:c>
      <x:c r="B280" t="str">
        <x:v>2026-07-12 14:45:39</x:v>
      </x:c>
      <x:c r="C280" t="str">
        <x:v>S002</x:v>
      </x:c>
      <x:c r="D280" t="str">
        <x:v>P005</x:v>
      </x:c>
      <x:c r="E280" s="23" t="n">
        <x:v>1</x:v>
      </x:c>
      <x:c r="F280" s="23" t="n">
        <x:v>5500</x:v>
      </x:c>
      <x:c r="G280" s="23" t="n">
        <x:v>0</x:v>
      </x:c>
      <x:c r="H280" t="str">
        <x:v>COMPLETED</x:v>
      </x:c>
      <x:c r="I280" t="n">
        <x:f>IF(COUNTIF($A$2:A280,A280)&gt;1,1,0)</x:f>
        <x:v>0</x:v>
      </x:c>
      <x:c r="J280" t="n">
        <x:f>IF(OR(EXACT(H280,"COMPLETED"),EXACT(H280,"CANCELLED")),0,1)</x:f>
        <x:v>0</x:v>
      </x:c>
    </x:row>
    <x:row r="281">
      <x:c r="A281" t="str">
        <x:v>O00279</x:v>
      </x:c>
      <x:c r="B281" t="str">
        <x:v>2026-07-13 13:09:02</x:v>
      </x:c>
      <x:c r="C281" t="str">
        <x:v>S002</x:v>
      </x:c>
      <x:c r="D281" t="str">
        <x:v>P005</x:v>
      </x:c>
      <x:c r="E281" s="23" t="n">
        <x:v>2</x:v>
      </x:c>
      <x:c r="F281" s="23" t="n">
        <x:v>5500</x:v>
      </x:c>
      <x:c r="G281" s="23" t="n">
        <x:v>0</x:v>
      </x:c>
      <x:c r="H281" t="str">
        <x:v>COMPLETED</x:v>
      </x:c>
      <x:c r="I281" t="n">
        <x:f>IF(COUNTIF($A$2:A281,A281)&gt;1,1,0)</x:f>
        <x:v>0</x:v>
      </x:c>
      <x:c r="J281" t="n">
        <x:f>IF(OR(EXACT(H281,"COMPLETED"),EXACT(H281,"CANCELLED")),0,1)</x:f>
        <x:v>0</x:v>
      </x:c>
    </x:row>
    <x:row r="282">
      <x:c r="A282" t="str">
        <x:v>O00280</x:v>
      </x:c>
      <x:c r="B282" t="str">
        <x:v>2026-07-05 13:06:23</x:v>
      </x:c>
      <x:c r="C282" t="str">
        <x:v>S003</x:v>
      </x:c>
      <x:c r="D282" t="str">
        <x:v>P003</x:v>
      </x:c>
      <x:c r="E282" s="23" t="n">
        <x:v>2</x:v>
      </x:c>
      <x:c r="F282" s="23" t="n">
        <x:v>5500</x:v>
      </x:c>
      <x:c r="G282" s="23" t="n">
        <x:v>0</x:v>
      </x:c>
      <x:c r="H282" t="str">
        <x:v>COMPLETED</x:v>
      </x:c>
      <x:c r="I282" t="n">
        <x:f>IF(COUNTIF($A$2:A282,A282)&gt;1,1,0)</x:f>
        <x:v>0</x:v>
      </x:c>
      <x:c r="J282" t="n">
        <x:f>IF(OR(EXACT(H282,"COMPLETED"),EXACT(H282,"CANCELLED")),0,1)</x:f>
        <x:v>0</x:v>
      </x:c>
    </x:row>
    <x:row r="283">
      <x:c r="A283" t="str">
        <x:v>O00281</x:v>
      </x:c>
      <x:c r="B283" t="str">
        <x:v>2026-07-13 14:08:50</x:v>
      </x:c>
      <x:c r="C283" t="str">
        <x:v>S003</x:v>
      </x:c>
      <x:c r="D283" t="str">
        <x:v>P004</x:v>
      </x:c>
      <x:c r="E283" s="23" t="n">
        <x:v>1</x:v>
      </x:c>
      <x:c r="F283" s="23" t="n">
        <x:v>4800</x:v>
      </x:c>
      <x:c r="G283" s="23" t="n">
        <x:v>0</x:v>
      </x:c>
      <x:c r="H283" t="str">
        <x:v>COMPLETED</x:v>
      </x:c>
      <x:c r="I283" t="n">
        <x:f>IF(COUNTIF($A$2:A283,A283)&gt;1,1,0)</x:f>
        <x:v>0</x:v>
      </x:c>
      <x:c r="J283" t="n">
        <x:f>IF(OR(EXACT(H283,"COMPLETED"),EXACT(H283,"CANCELLED")),0,1)</x:f>
        <x:v>0</x:v>
      </x:c>
    </x:row>
    <x:row r="284">
      <x:c r="A284" t="str">
        <x:v>O00282</x:v>
      </x:c>
      <x:c r="B284" t="str">
        <x:v>2026-07-07 09:17:48</x:v>
      </x:c>
      <x:c r="C284" t="str">
        <x:v>S002</x:v>
      </x:c>
      <x:c r="D284" t="str">
        <x:v>P008</x:v>
      </x:c>
      <x:c r="E284" s="23" t="n">
        <x:v>1</x:v>
      </x:c>
      <x:c r="F284" s="23" t="n">
        <x:v>4200</x:v>
      </x:c>
      <x:c r="G284" s="23" t="n">
        <x:v>0</x:v>
      </x:c>
      <x:c r="H284" t="str">
        <x:v>COMPLETED</x:v>
      </x:c>
      <x:c r="I284" t="n">
        <x:f>IF(COUNTIF($A$2:A284,A284)&gt;1,1,0)</x:f>
        <x:v>0</x:v>
      </x:c>
      <x:c r="J284" t="n">
        <x:f>IF(OR(EXACT(H284,"COMPLETED"),EXACT(H284,"CANCELLED")),0,1)</x:f>
        <x:v>0</x:v>
      </x:c>
    </x:row>
    <x:row r="285">
      <x:c r="A285" t="str">
        <x:v>O00283</x:v>
      </x:c>
      <x:c r="B285" t="str">
        <x:v>2026-07-14 19:45:37</x:v>
      </x:c>
      <x:c r="C285" t="str">
        <x:v>S002</x:v>
      </x:c>
      <x:c r="D285" t="str">
        <x:v>P002</x:v>
      </x:c>
      <x:c r="E285" s="23" t="n">
        <x:v>3</x:v>
      </x:c>
      <x:c r="F285" s="23" t="n">
        <x:v>5000</x:v>
      </x:c>
      <x:c r="G285" s="23" t="n">
        <x:v>0</x:v>
      </x:c>
      <x:c r="H285" t="str">
        <x:v>COMPLETED</x:v>
      </x:c>
      <x:c r="I285" t="n">
        <x:f>IF(COUNTIF($A$2:A285,A285)&gt;1,1,0)</x:f>
        <x:v>0</x:v>
      </x:c>
      <x:c r="J285" t="n">
        <x:f>IF(OR(EXACT(H285,"COMPLETED"),EXACT(H285,"CANCELLED")),0,1)</x:f>
        <x:v>0</x:v>
      </x:c>
    </x:row>
    <x:row r="286">
      <x:c r="A286" t="str">
        <x:v>O00284</x:v>
      </x:c>
      <x:c r="B286" t="str">
        <x:v>2026-07-06 17:11:46</x:v>
      </x:c>
      <x:c r="C286" t="str">
        <x:v>S003</x:v>
      </x:c>
      <x:c r="D286" t="str">
        <x:v>P007</x:v>
      </x:c>
      <x:c r="E286" s="23" t="n">
        <x:v>1</x:v>
      </x:c>
      <x:c r="F286" s="23" t="n">
        <x:v>3000</x:v>
      </x:c>
      <x:c r="G286" s="23" t="n">
        <x:v>0</x:v>
      </x:c>
      <x:c r="H286" t="str">
        <x:v>CANCELLED</x:v>
      </x:c>
      <x:c r="I286" t="n">
        <x:f>IF(COUNTIF($A$2:A286,A286)&gt;1,1,0)</x:f>
        <x:v>0</x:v>
      </x:c>
      <x:c r="J286" t="n">
        <x:f>IF(OR(EXACT(H286,"COMPLETED"),EXACT(H286,"CANCELLED")),0,1)</x:f>
        <x:v>0</x:v>
      </x:c>
    </x:row>
    <x:row r="287">
      <x:c r="A287" t="str">
        <x:v>O00285</x:v>
      </x:c>
      <x:c r="B287" t="str">
        <x:v>2026-07-08 15:07:44</x:v>
      </x:c>
      <x:c r="C287" t="str">
        <x:v>S003</x:v>
      </x:c>
      <x:c r="D287" t="str">
        <x:v>P007</x:v>
      </x:c>
      <x:c r="E287" s="23" t="n">
        <x:v>2</x:v>
      </x:c>
      <x:c r="F287" s="23" t="n">
        <x:v>3000</x:v>
      </x:c>
      <x:c r="G287" s="23" t="n">
        <x:v>0</x:v>
      </x:c>
      <x:c r="H287" t="str">
        <x:v>COMPLETED</x:v>
      </x:c>
      <x:c r="I287" t="n">
        <x:f>IF(COUNTIF($A$2:A287,A287)&gt;1,1,0)</x:f>
        <x:v>0</x:v>
      </x:c>
      <x:c r="J287" t="n">
        <x:f>IF(OR(EXACT(H287,"COMPLETED"),EXACT(H287,"CANCELLED")),0,1)</x:f>
        <x:v>0</x:v>
      </x:c>
    </x:row>
    <x:row r="288">
      <x:c r="A288" t="str">
        <x:v>O00286</x:v>
      </x:c>
      <x:c r="B288" t="str">
        <x:v>2026-07-12 08:29:45</x:v>
      </x:c>
      <x:c r="C288" t="str">
        <x:v>S001</x:v>
      </x:c>
      <x:c r="D288" t="str">
        <x:v>P005</x:v>
      </x:c>
      <x:c r="E288" s="23" t="n">
        <x:v>1</x:v>
      </x:c>
      <x:c r="F288" s="23" t="n">
        <x:v>5500</x:v>
      </x:c>
      <x:c r="G288" s="23" t="n">
        <x:v>0</x:v>
      </x:c>
      <x:c r="H288" t="str">
        <x:v>COMPLETED</x:v>
      </x:c>
      <x:c r="I288" t="n">
        <x:f>IF(COUNTIF($A$2:A288,A288)&gt;1,1,0)</x:f>
        <x:v>0</x:v>
      </x:c>
      <x:c r="J288" t="n">
        <x:f>IF(OR(EXACT(H288,"COMPLETED"),EXACT(H288,"CANCELLED")),0,1)</x:f>
        <x:v>0</x:v>
      </x:c>
    </x:row>
    <x:row r="289">
      <x:c r="A289" t="str">
        <x:v>O00287</x:v>
      </x:c>
      <x:c r="B289" t="str">
        <x:v>2026-07-05 19:19:49</x:v>
      </x:c>
      <x:c r="C289" t="str">
        <x:v>S001</x:v>
      </x:c>
      <x:c r="D289" t="str">
        <x:v>P007</x:v>
      </x:c>
      <x:c r="E289" s="23" t="n">
        <x:v>1</x:v>
      </x:c>
      <x:c r="F289" s="23" t="n">
        <x:v>3000</x:v>
      </x:c>
      <x:c r="G289" s="23" t="n">
        <x:v>10</x:v>
      </x:c>
      <x:c r="H289" t="str">
        <x:v>COMPLETED</x:v>
      </x:c>
      <x:c r="I289" t="n">
        <x:f>IF(COUNTIF($A$2:A289,A289)&gt;1,1,0)</x:f>
        <x:v>0</x:v>
      </x:c>
      <x:c r="J289" t="n">
        <x:f>IF(OR(EXACT(H289,"COMPLETED"),EXACT(H289,"CANCELLED")),0,1)</x:f>
        <x:v>0</x:v>
      </x:c>
    </x:row>
    <x:row r="290">
      <x:c r="A290" t="str">
        <x:v>O00288</x:v>
      </x:c>
      <x:c r="B290" t="str">
        <x:v>2026-07-14 17:19:12</x:v>
      </x:c>
      <x:c r="C290" t="str">
        <x:v>S002</x:v>
      </x:c>
      <x:c r="D290" t="str">
        <x:v>P002</x:v>
      </x:c>
      <x:c r="E290" s="23" t="n">
        <x:v>1</x:v>
      </x:c>
      <x:c r="F290" s="23" t="n">
        <x:v>5000</x:v>
      </x:c>
      <x:c r="G290" s="23" t="n">
        <x:v>0</x:v>
      </x:c>
      <x:c r="H290" t="str">
        <x:v>COMPLETED</x:v>
      </x:c>
      <x:c r="I290" t="n">
        <x:f>IF(COUNTIF($A$2:A290,A290)&gt;1,1,0)</x:f>
        <x:v>0</x:v>
      </x:c>
      <x:c r="J290" t="n">
        <x:f>IF(OR(EXACT(H290,"COMPLETED"),EXACT(H290,"CANCELLED")),0,1)</x:f>
        <x:v>0</x:v>
      </x:c>
    </x:row>
    <x:row r="291">
      <x:c r="A291" t="str">
        <x:v>O00289</x:v>
      </x:c>
      <x:c r="B291" t="str">
        <x:v>2026-07-01 18:16:28</x:v>
      </x:c>
      <x:c r="C291" t="str">
        <x:v>S001</x:v>
      </x:c>
      <x:c r="D291" t="str">
        <x:v>P008</x:v>
      </x:c>
      <x:c r="E291" s="23" t="n">
        <x:v>1</x:v>
      </x:c>
      <x:c r="F291" s="23" t="n">
        <x:v>4200</x:v>
      </x:c>
      <x:c r="G291" s="23" t="n">
        <x:v>0</x:v>
      </x:c>
      <x:c r="H291" t="str">
        <x:v>COMPLETED</x:v>
      </x:c>
      <x:c r="I291" t="n">
        <x:f>IF(COUNTIF($A$2:A291,A291)&gt;1,1,0)</x:f>
        <x:v>0</x:v>
      </x:c>
      <x:c r="J291" t="n">
        <x:f>IF(OR(EXACT(H291,"COMPLETED"),EXACT(H291,"CANCELLED")),0,1)</x:f>
        <x:v>0</x:v>
      </x:c>
    </x:row>
    <x:row r="292">
      <x:c r="A292" t="str">
        <x:v>O00290</x:v>
      </x:c>
      <x:c r="B292" t="str">
        <x:v>2026-07-03 12:24:00</x:v>
      </x:c>
      <x:c r="C292" t="str">
        <x:v>S001</x:v>
      </x:c>
      <x:c r="D292" t="str">
        <x:v>P005</x:v>
      </x:c>
      <x:c r="E292" s="23" t="n">
        <x:v>1</x:v>
      </x:c>
      <x:c r="F292" s="23" t="n">
        <x:v>5500</x:v>
      </x:c>
      <x:c r="G292" s="23" t="n">
        <x:v>10</x:v>
      </x:c>
      <x:c r="H292" t="str">
        <x:v>COMPLETED</x:v>
      </x:c>
      <x:c r="I292" t="n">
        <x:f>IF(COUNTIF($A$2:A292,A292)&gt;1,1,0)</x:f>
        <x:v>0</x:v>
      </x:c>
      <x:c r="J292" t="n">
        <x:f>IF(OR(EXACT(H292,"COMPLETED"),EXACT(H292,"CANCELLED")),0,1)</x:f>
        <x:v>0</x:v>
      </x:c>
    </x:row>
    <x:row r="293">
      <x:c r="A293" t="str">
        <x:v>O00291</x:v>
      </x:c>
      <x:c r="B293" t="str">
        <x:v>2026-07-10 13:51:40</x:v>
      </x:c>
      <x:c r="C293" t="str">
        <x:v>S001</x:v>
      </x:c>
      <x:c r="D293" t="str">
        <x:v>P001</x:v>
      </x:c>
      <x:c r="E293" s="23" t="n">
        <x:v>1</x:v>
      </x:c>
      <x:c r="F293" s="23" t="n">
        <x:v>4500</x:v>
      </x:c>
      <x:c r="G293" s="23" t="n">
        <x:v>0</x:v>
      </x:c>
      <x:c r="H293" t="str">
        <x:v>COMPLETED</x:v>
      </x:c>
      <x:c r="I293" t="n">
        <x:f>IF(COUNTIF($A$2:A293,A293)&gt;1,1,0)</x:f>
        <x:v>0</x:v>
      </x:c>
      <x:c r="J293" t="n">
        <x:f>IF(OR(EXACT(H293,"COMPLETED"),EXACT(H293,"CANCELLED")),0,1)</x:f>
        <x:v>0</x:v>
      </x:c>
    </x:row>
    <x:row r="294">
      <x:c r="A294" t="str">
        <x:v>O00292</x:v>
      </x:c>
      <x:c r="B294" t="str">
        <x:v>2026-07-12 20:40:32</x:v>
      </x:c>
      <x:c r="C294" t="str">
        <x:v>S001</x:v>
      </x:c>
      <x:c r="D294" t="str">
        <x:v>P001</x:v>
      </x:c>
      <x:c r="E294" s="23" t="n">
        <x:v>1</x:v>
      </x:c>
      <x:c r="F294" s="23" t="n">
        <x:v>4500</x:v>
      </x:c>
      <x:c r="G294" s="23" t="n">
        <x:v>0</x:v>
      </x:c>
      <x:c r="H294" t="str">
        <x:v>COMPLETED</x:v>
      </x:c>
      <x:c r="I294" t="n">
        <x:f>IF(COUNTIF($A$2:A294,A294)&gt;1,1,0)</x:f>
        <x:v>0</x:v>
      </x:c>
      <x:c r="J294" t="n">
        <x:f>IF(OR(EXACT(H294,"COMPLETED"),EXACT(H294,"CANCELLED")),0,1)</x:f>
        <x:v>0</x:v>
      </x:c>
    </x:row>
    <x:row r="295">
      <x:c r="A295" t="str">
        <x:v>O00293</x:v>
      </x:c>
      <x:c r="B295" t="str">
        <x:v>2026-07-13 21:52:01</x:v>
      </x:c>
      <x:c r="C295" t="str">
        <x:v>S001</x:v>
      </x:c>
      <x:c r="D295" t="str">
        <x:v>P008</x:v>
      </x:c>
      <x:c r="E295" s="23" t="n">
        <x:v>1</x:v>
      </x:c>
      <x:c r="F295" s="23" t="n">
        <x:v>4200</x:v>
      </x:c>
      <x:c r="G295" s="23" t="n">
        <x:v>0</x:v>
      </x:c>
      <x:c r="H295" t="str">
        <x:v>COMPLETED</x:v>
      </x:c>
      <x:c r="I295" t="n">
        <x:f>IF(COUNTIF($A$2:A295,A295)&gt;1,1,0)</x:f>
        <x:v>0</x:v>
      </x:c>
      <x:c r="J295" t="n">
        <x:f>IF(OR(EXACT(H295,"COMPLETED"),EXACT(H295,"CANCELLED")),0,1)</x:f>
        <x:v>0</x:v>
      </x:c>
    </x:row>
    <x:row r="296">
      <x:c r="A296" t="str">
        <x:v>O00294</x:v>
      </x:c>
      <x:c r="B296" t="str">
        <x:v>2026-07-04 21:20:21</x:v>
      </x:c>
      <x:c r="C296" t="str">
        <x:v>S002</x:v>
      </x:c>
      <x:c r="D296" t="str">
        <x:v>P002</x:v>
      </x:c>
      <x:c r="E296" s="23" t="n">
        <x:v>1</x:v>
      </x:c>
      <x:c r="F296" s="23" t="n">
        <x:v>5000</x:v>
      </x:c>
      <x:c r="G296" s="23" t="n">
        <x:v>0</x:v>
      </x:c>
      <x:c r="H296" t="str">
        <x:v>CANCELLED</x:v>
      </x:c>
      <x:c r="I296" t="n">
        <x:f>IF(COUNTIF($A$2:A296,A296)&gt;1,1,0)</x:f>
        <x:v>0</x:v>
      </x:c>
      <x:c r="J296" t="n">
        <x:f>IF(OR(EXACT(H296,"COMPLETED"),EXACT(H296,"CANCELLED")),0,1)</x:f>
        <x:v>0</x:v>
      </x:c>
    </x:row>
    <x:row r="297">
      <x:c r="A297" t="str">
        <x:v>O00295</x:v>
      </x:c>
      <x:c r="B297" t="str">
        <x:v>2026-07-03 07:59:21</x:v>
      </x:c>
      <x:c r="C297" t="str">
        <x:v>S001</x:v>
      </x:c>
      <x:c r="D297" t="str">
        <x:v>P001</x:v>
      </x:c>
      <x:c r="E297" s="23" t="n">
        <x:v>2</x:v>
      </x:c>
      <x:c r="F297" s="23" t="n">
        <x:v>4500</x:v>
      </x:c>
      <x:c r="G297" s="23" t="n">
        <x:v>10</x:v>
      </x:c>
      <x:c r="H297" t="str">
        <x:v>COMPLETED</x:v>
      </x:c>
      <x:c r="I297" t="n">
        <x:f>IF(COUNTIF($A$2:A297,A297)&gt;1,1,0)</x:f>
        <x:v>0</x:v>
      </x:c>
      <x:c r="J297" t="n">
        <x:f>IF(OR(EXACT(H297,"COMPLETED"),EXACT(H297,"CANCELLED")),0,1)</x:f>
        <x:v>0</x:v>
      </x:c>
    </x:row>
    <x:row r="298">
      <x:c r="A298" t="str">
        <x:v>O00296</x:v>
      </x:c>
      <x:c r="B298" t="str">
        <x:v>2026-07-02 13:47:40</x:v>
      </x:c>
      <x:c r="C298" t="str">
        <x:v>S003</x:v>
      </x:c>
      <x:c r="D298" t="str">
        <x:v>P002</x:v>
      </x:c>
      <x:c r="E298" s="23" t="n">
        <x:v>2</x:v>
      </x:c>
      <x:c r="F298" s="23" t="n">
        <x:v>5000</x:v>
      </x:c>
      <x:c r="G298" s="23" t="n">
        <x:v>10</x:v>
      </x:c>
      <x:c r="H298" t="str">
        <x:v>COMPLETED</x:v>
      </x:c>
      <x:c r="I298" t="n">
        <x:f>IF(COUNTIF($A$2:A298,A298)&gt;1,1,0)</x:f>
        <x:v>0</x:v>
      </x:c>
      <x:c r="J298" t="n">
        <x:f>IF(OR(EXACT(H298,"COMPLETED"),EXACT(H298,"CANCELLED")),0,1)</x:f>
        <x:v>0</x:v>
      </x:c>
    </x:row>
    <x:row r="299">
      <x:c r="A299" t="str">
        <x:v>O00297</x:v>
      </x:c>
      <x:c r="B299" t="str">
        <x:v>2026-07-01 16:35:52</x:v>
      </x:c>
      <x:c r="C299" t="str">
        <x:v>S001</x:v>
      </x:c>
      <x:c r="D299" t="str">
        <x:v>P007</x:v>
      </x:c>
      <x:c r="E299" s="23" t="n">
        <x:v>1</x:v>
      </x:c>
      <x:c r="F299" s="23" t="n">
        <x:v>3000</x:v>
      </x:c>
      <x:c r="G299" s="23" t="n">
        <x:v>0</x:v>
      </x:c>
      <x:c r="H299" t="str">
        <x:v>COMPLETED</x:v>
      </x:c>
      <x:c r="I299" t="n">
        <x:f>IF(COUNTIF($A$2:A299,A299)&gt;1,1,0)</x:f>
        <x:v>0</x:v>
      </x:c>
      <x:c r="J299" t="n">
        <x:f>IF(OR(EXACT(H299,"COMPLETED"),EXACT(H299,"CANCELLED")),0,1)</x:f>
        <x:v>0</x:v>
      </x:c>
    </x:row>
    <x:row r="300">
      <x:c r="A300" t="str">
        <x:v>O00298</x:v>
      </x:c>
      <x:c r="B300" t="str">
        <x:v>2026-07-08 12:08:37</x:v>
      </x:c>
      <x:c r="C300" t="str">
        <x:v>S003</x:v>
      </x:c>
      <x:c r="D300" t="str">
        <x:v>P007</x:v>
      </x:c>
      <x:c r="E300" s="23" t="n">
        <x:v>2</x:v>
      </x:c>
      <x:c r="F300" s="23" t="n">
        <x:v>3000</x:v>
      </x:c>
      <x:c r="G300" s="23" t="n">
        <x:v>0</x:v>
      </x:c>
      <x:c r="H300" t="str">
        <x:v>COMPLETED</x:v>
      </x:c>
      <x:c r="I300" t="n">
        <x:f>IF(COUNTIF($A$2:A300,A300)&gt;1,1,0)</x:f>
        <x:v>0</x:v>
      </x:c>
      <x:c r="J300" t="n">
        <x:f>IF(OR(EXACT(H300,"COMPLETED"),EXACT(H300,"CANCELLED")),0,1)</x:f>
        <x:v>0</x:v>
      </x:c>
    </x:row>
    <x:row r="301">
      <x:c r="A301" t="str">
        <x:v>O00173</x:v>
      </x:c>
      <x:c r="B301" t="str">
        <x:v>2026-07-10 21:08:09</x:v>
      </x:c>
      <x:c r="C301" t="str">
        <x:v>S003</x:v>
      </x:c>
      <x:c r="D301" t="str">
        <x:v>P007</x:v>
      </x:c>
      <x:c r="E301" s="23" t="n">
        <x:v>2</x:v>
      </x:c>
      <x:c r="F301" s="23" t="n">
        <x:v>3000</x:v>
      </x:c>
      <x:c r="G301" s="23" t="n">
        <x:v>0</x:v>
      </x:c>
      <x:c r="H301" t="str">
        <x:v>COMPLETED</x:v>
      </x:c>
      <x:c r="I301" t="n">
        <x:f>IF(COUNTIF($A$2:A301,A301)&gt;1,1,0)</x:f>
        <x:v>1</x:v>
      </x:c>
      <x:c r="J301" t="n">
        <x:f>IF(OR(EXACT(H301,"COMPLETED"),EXACT(H301,"CANCELLED")),0,1)</x:f>
        <x:v>0</x:v>
      </x:c>
    </x:row>
  </x:sheetData>
  <x:conditionalFormatting sqref="A2:A301">
    <x:cfRule type="duplicateValues" dxfId="0" priority="1"/>
  </x:conditionalFormatting>
  <x:conditionalFormatting sqref="E2:E301">
    <x:cfRule type="cellIs" dxfId="1" priority="2" operator="lessThanOrEqual">
      <x:formula>0</x:formula>
    </x:cfRule>
  </x:conditionalFormatting>
  <x:conditionalFormatting sqref="G2:G301">
    <x:cfRule type="containsBlanks" dxfId="2" priority="3"/>
  </x:conditionalFormatting>
  <x:conditionalFormatting sqref="H2:H301">
    <x:cfRule type="expression" dxfId="3" priority="4">
      <x:formula>AND(H2&lt;&gt;"COMPLETED",H2&lt;&gt;"CANCELLED")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996e8e42600492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4" hidden="0" customWidth="1"/>
    <x:col min="3" max="3" width="14" hidden="0" customWidth="1"/>
    <x:col min="4" max="4" width="14" hidden="0" customWidth="1"/>
  </x:cols>
  <x:sheetData>
    <x:row r="1">
      <x:c r="A1" t="str">
        <x:v>product_id</x:v>
      </x:c>
      <x:c r="B1" t="str">
        <x:v>product_name</x:v>
      </x:c>
      <x:c r="C1" t="str">
        <x:v>category</x:v>
      </x:c>
      <x:c r="D1" t="str">
        <x:v>list_price</x:v>
      </x:c>
    </x:row>
    <x:row r="2">
      <x:c r="A2" t="str">
        <x:v>P001</x:v>
      </x:c>
      <x:c r="B2" t="str">
        <x:v>아메리카노</x:v>
      </x:c>
      <x:c r="C2" t="str">
        <x:v>커피</x:v>
      </x:c>
      <x:c r="D2" s="23" t="n">
        <x:v>4500</x:v>
      </x:c>
    </x:row>
    <x:row r="3">
      <x:c r="A3" t="str">
        <x:v>P002</x:v>
      </x:c>
      <x:c r="B3" t="str">
        <x:v>카페라떼</x:v>
      </x:c>
      <x:c r="C3" t="str">
        <x:v>커피</x:v>
      </x:c>
      <x:c r="D3" s="23" t="n">
        <x:v>5000</x:v>
      </x:c>
    </x:row>
    <x:row r="4">
      <x:c r="A4" t="str">
        <x:v>P003</x:v>
      </x:c>
      <x:c r="B4" t="str">
        <x:v>바닐라라떼</x:v>
      </x:c>
      <x:c r="C4" t="str">
        <x:v>커피</x:v>
      </x:c>
      <x:c r="D4" s="23" t="n">
        <x:v>5500</x:v>
      </x:c>
    </x:row>
    <x:row r="5">
      <x:c r="A5" t="str">
        <x:v>P004</x:v>
      </x:c>
      <x:c r="B5" t="str">
        <x:v>녹차</x:v>
      </x:c>
      <x:c r="C5" t="str">
        <x:v>음료</x:v>
      </x:c>
      <x:c r="D5" s="23" t="n">
        <x:v>4800</x:v>
      </x:c>
    </x:row>
    <x:row r="6">
      <x:c r="A6" t="str">
        <x:v>P005</x:v>
      </x:c>
      <x:c r="B6" t="str">
        <x:v>레몬에이드</x:v>
      </x:c>
      <x:c r="C6" t="str">
        <x:v>음료</x:v>
      </x:c>
      <x:c r="D6" s="23" t="n">
        <x:v>5500</x:v>
      </x:c>
    </x:row>
    <x:row r="7">
      <x:c r="A7" t="str">
        <x:v>P006</x:v>
      </x:c>
      <x:c r="B7" t="str">
        <x:v>햄치즈 샌드위치</x:v>
      </x:c>
      <x:c r="C7" t="str">
        <x:v>푸드</x:v>
      </x:c>
      <x:c r="D7" s="23" t="n">
        <x:v>7500</x:v>
      </x:c>
    </x:row>
    <x:row r="8">
      <x:c r="A8" t="str">
        <x:v>P007</x:v>
      </x:c>
      <x:c r="B8" t="str">
        <x:v>초코 쿠키</x:v>
      </x:c>
      <x:c r="C8" t="str">
        <x:v>디저트</x:v>
      </x:c>
      <x:c r="D8" s="23" t="n">
        <x:v>3000</x:v>
      </x:c>
    </x:row>
    <x:row r="9">
      <x:c r="A9" t="str">
        <x:v>P008</x:v>
      </x:c>
      <x:c r="B9" t="str">
        <x:v>블루베리 머핀</x:v>
      </x:c>
      <x:c r="C9" t="str">
        <x:v>디저트</x:v>
      </x:c>
      <x:c r="D9" s="23" t="n">
        <x:v>4200</x:v>
      </x:c>
    </x:row>
  </x:sheetData>
  <x:pageMargins left="0.7" right="0.7" top="0.75" bottom="0.75" header="0.3" footer="0.3"/>
  <x:tableParts count="1">
    <x:tablePart xmlns:r="http://schemas.openxmlformats.org/officeDocument/2006/relationships" r:id="Rf0f71a4e738541f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8" hidden="0" customWidth="1"/>
    <x:col min="3" max="3" width="12" hidden="0" customWidth="1"/>
    <x:col min="4" max="4" width="16" hidden="0" customWidth="1"/>
  </x:cols>
  <x:sheetData>
    <x:row r="1">
      <x:c r="A1" t="str">
        <x:v>store_id</x:v>
      </x:c>
      <x:c r="B1" t="str">
        <x:v>store_name</x:v>
      </x:c>
      <x:c r="C1" t="str">
        <x:v>region</x:v>
      </x:c>
      <x:c r="D1" t="str">
        <x:v>opened_date</x:v>
      </x:c>
    </x:row>
    <x:row r="2">
      <x:c r="A2" t="str">
        <x:v>S001</x:v>
      </x:c>
      <x:c r="B2" t="str">
        <x:v>강남점</x:v>
      </x:c>
      <x:c r="C2" t="str">
        <x:v>서울</x:v>
      </x:c>
      <x:c r="D2" t="str">
        <x:v>2024-03-01</x:v>
      </x:c>
    </x:row>
    <x:row r="3">
      <x:c r="A3" t="str">
        <x:v>S002</x:v>
      </x:c>
      <x:c r="B3" t="str">
        <x:v>판교점</x:v>
      </x:c>
      <x:c r="C3" t="str">
        <x:v>경기</x:v>
      </x:c>
      <x:c r="D3" t="str">
        <x:v>2024-06-15</x:v>
      </x:c>
    </x:row>
    <x:row r="4">
      <x:c r="A4" t="str">
        <x:v>S003</x:v>
      </x:c>
      <x:c r="B4" t="str">
        <x:v>해운대점</x:v>
      </x:c>
      <x:c r="C4" t="str">
        <x:v>부산</x:v>
      </x:c>
      <x:c r="D4" t="str">
        <x:v>2025-01-10</x:v>
      </x:c>
    </x:row>
  </x:sheetData>
  <x:pageMargins left="0.7" right="0.7" top="0.75" bottom="0.75" header="0.3" footer="0.3"/>
  <x:tableParts count="1">
    <x:tablePart xmlns:r="http://schemas.openxmlformats.org/officeDocument/2006/relationships" r:id="R2b685dc1bb6b4f7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14" hidden="0" customWidth="1"/>
  </x:cols>
  <x:sheetData>
    <x:row r="1">
      <x:c r="A1" s="25" t="str">
        <x:v>샘플 데이터 품질 검증</x:v>
      </x:c>
      <x:c r="B1" s="25"/>
      <x:c r="C1" s="25"/>
      <x:c r="D1" s="25"/>
    </x:row>
    <x:row r="2">
      <x:c r="A2" s="25"/>
      <x:c r="B2" s="25"/>
      <x:c r="C2" s="25"/>
      <x:c r="D2" s="25"/>
    </x:row>
    <x:row r="4">
      <x:c r="A4" s="7" t="str">
        <x:v>검증 항목</x:v>
      </x:c>
      <x:c r="B4" s="14" t="str">
        <x:v>실제</x:v>
      </x:c>
      <x:c r="C4" s="14" t="str">
        <x:v>기대</x:v>
      </x:c>
      <x:c r="D4" s="8" t="str">
        <x:v>판정</x:v>
      </x:c>
    </x:row>
    <x:row r="5">
      <x:c r="A5" s="9" t="str">
        <x:v>총 주문 행</x:v>
      </x:c>
      <x:c r="B5" s="27" t="n">
        <x:f>COUNTA('Orders'!A2:A301)</x:f>
        <x:v>300</x:v>
      </x:c>
      <x:c r="C5" s="27" t="n">
        <x:v>300</x:v>
      </x:c>
      <x:c r="D5" s="10" t="str">
        <x:f>IF(B5=C5,"PASS","CHECK")</x:f>
        <x:v>PASS</x:v>
      </x:c>
    </x:row>
    <x:row r="6">
      <x:c r="A6" s="9" t="str">
        <x:v>중복 발생 건</x:v>
      </x:c>
      <x:c r="B6" s="27" t="n">
        <x:f>SUM('Orders'!I2:I301)</x:f>
        <x:v>2</x:v>
      </x:c>
      <x:c r="C6" s="27" t="n">
        <x:v>2</x:v>
      </x:c>
      <x:c r="D6" s="10" t="str">
        <x:f>IF(B6=C6,"PASS","CHECK")</x:f>
        <x:v>PASS</x:v>
      </x:c>
    </x:row>
    <x:row r="7">
      <x:c r="A7" s="9" t="str">
        <x:v>0 이하 수량</x:v>
      </x:c>
      <x:c r="B7" s="27" t="n">
        <x:f>COUNTIF('Orders'!E2:E301,"&lt;=0")</x:f>
        <x:v>2</x:v>
      </x:c>
      <x:c r="C7" s="27" t="n">
        <x:v>2</x:v>
      </x:c>
      <x:c r="D7" s="10" t="str">
        <x:f>IF(B7=C7,"PASS","CHECK")</x:f>
        <x:v>PASS</x:v>
      </x:c>
    </x:row>
    <x:row r="8">
      <x:c r="A8" s="9" t="str">
        <x:v>NULL 할인율</x:v>
      </x:c>
      <x:c r="B8" s="27" t="n">
        <x:f>COUNTBLANK('Orders'!G2:G301)</x:f>
        <x:v>5</x:v>
      </x:c>
      <x:c r="C8" s="27" t="n">
        <x:v>5</x:v>
      </x:c>
      <x:c r="D8" s="10" t="str">
        <x:f>IF(B8=C8,"PASS","CHECK")</x:f>
        <x:v>PASS</x:v>
      </x:c>
    </x:row>
    <x:row r="9">
      <x:c r="A9" s="11" t="str">
        <x:v>비표준 상태값</x:v>
      </x:c>
      <x:c r="B9" s="28" t="n">
        <x:f>SUM('Orders'!J2:J301)</x:f>
        <x:v>7</x:v>
      </x:c>
      <x:c r="C9" s="28" t="n">
        <x:v>7</x:v>
      </x:c>
      <x:c r="D9" s="12" t="str">
        <x:f>IF(B9=C9,"PASS","CHECK")</x:f>
        <x:v>PASS</x:v>
      </x:c>
    </x:row>
    <x:row r="11">
      <x:c r="A11" s="31" t="str">
        <x:v>검증 값은 Orders 시트의 원본 데이터와 두 개의 품질 검증 보조 수식을 참조합니다. CSV 원천에는 보조 열이 포함되지 않습니다.</x:v>
      </x:c>
      <x:c r="B11" s="31"/>
      <x:c r="C11" s="31"/>
      <x:c r="D11" s="31"/>
    </x:row>
    <x:row r="12">
      <x:c r="A12" s="31"/>
      <x:c r="B12" s="31"/>
      <x:c r="C12" s="31"/>
      <x:c r="D12" s="31"/>
    </x:row>
    <x:row r="13">
      <x:c r="A13" s="31"/>
      <x:c r="B13" s="31"/>
      <x:c r="C13" s="31"/>
      <x:c r="D13" s="31"/>
    </x:row>
  </x:sheetData>
  <x:mergeCells>
    <x:mergeCell ref="A1:D2"/>
    <x:mergeCell ref="A11:D13"/>
  </x:mergeCells>
  <x:conditionalFormatting sqref="D5:D9">
    <x:cfRule type="containsText" dxfId="4" priority="1" operator="containsText" text="PASS"/>
    <x:cfRule type="containsText" dxfId="5" priority="2" operator="containsText" text="CHECK"/>
  </x:conditionalFormatting>
  <x:pageMargins left="0.7" right="0.7" top="0.75" bottom="0.75" header="0.3" footer="0.3"/>
</x:worksheet>
</file>